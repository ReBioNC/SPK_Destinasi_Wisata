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SPK_Destinasi_Wisata\"/>
    </mc:Choice>
  </mc:AlternateContent>
  <xr:revisionPtr revIDLastSave="0" documentId="13_ncr:1_{D5EC33B1-D6AB-4E42-A741-0670DC1F734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etunjuk" sheetId="1" r:id="rId1"/>
    <sheet name="Profil_User" sheetId="2" r:id="rId2"/>
    <sheet name="Data_Alternatif" sheetId="3" r:id="rId3"/>
    <sheet name="Kriteria" sheetId="4" r:id="rId4"/>
    <sheet name="AHP_Bobot" sheetId="5" r:id="rId5"/>
    <sheet name="Matriks_Keputusan" sheetId="6" r:id="rId6"/>
    <sheet name="TOPSIS" sheetId="7" r:id="rId7"/>
    <sheet name="SAW_Pembanding" sheetId="8" r:id="rId8"/>
    <sheet name="Hasil" sheetId="9" r:id="rId9"/>
  </sheets>
  <calcPr calcId="181029"/>
</workbook>
</file>

<file path=xl/calcChain.xml><?xml version="1.0" encoding="utf-8"?>
<calcChain xmlns="http://schemas.openxmlformats.org/spreadsheetml/2006/main">
  <c r="C37" i="9" l="1"/>
  <c r="C36" i="9"/>
  <c r="C35" i="9"/>
  <c r="C34" i="9"/>
  <c r="C33" i="9"/>
  <c r="C32" i="9"/>
  <c r="B9" i="9"/>
  <c r="B8" i="9"/>
  <c r="B7" i="9"/>
  <c r="B6" i="9"/>
  <c r="B5" i="9"/>
  <c r="B40" i="8"/>
  <c r="B22" i="8"/>
  <c r="B15" i="8"/>
  <c r="B41" i="8" s="1"/>
  <c r="B9" i="8"/>
  <c r="B35" i="8" s="1"/>
  <c r="H3" i="8"/>
  <c r="D45" i="7"/>
  <c r="D6" i="7"/>
  <c r="A6" i="7"/>
  <c r="H5" i="7"/>
  <c r="D16" i="6"/>
  <c r="D15" i="8" s="1"/>
  <c r="C16" i="6"/>
  <c r="C15" i="8" s="1"/>
  <c r="B16" i="6"/>
  <c r="B14" i="7" s="1"/>
  <c r="A16" i="6"/>
  <c r="A15" i="8" s="1"/>
  <c r="H15" i="6"/>
  <c r="H14" i="8" s="1"/>
  <c r="D15" i="6"/>
  <c r="D14" i="8" s="1"/>
  <c r="C15" i="6"/>
  <c r="C14" i="8" s="1"/>
  <c r="B15" i="6"/>
  <c r="B14" i="8" s="1"/>
  <c r="B27" i="8" s="1"/>
  <c r="A15" i="6"/>
  <c r="A14" i="8" s="1"/>
  <c r="H14" i="6"/>
  <c r="H13" i="8" s="1"/>
  <c r="D14" i="6"/>
  <c r="D13" i="8" s="1"/>
  <c r="C14" i="6"/>
  <c r="C13" i="8" s="1"/>
  <c r="B14" i="6"/>
  <c r="B12" i="7" s="1"/>
  <c r="A14" i="6"/>
  <c r="A13" i="8" s="1"/>
  <c r="D13" i="6"/>
  <c r="D12" i="8" s="1"/>
  <c r="C13" i="6"/>
  <c r="C12" i="8" s="1"/>
  <c r="B13" i="6"/>
  <c r="B12" i="8" s="1"/>
  <c r="A13" i="6"/>
  <c r="A12" i="8" s="1"/>
  <c r="D12" i="6"/>
  <c r="D11" i="8" s="1"/>
  <c r="C12" i="6"/>
  <c r="C11" i="8" s="1"/>
  <c r="B12" i="6"/>
  <c r="B10" i="7" s="1"/>
  <c r="A12" i="6"/>
  <c r="A11" i="8" s="1"/>
  <c r="H11" i="6"/>
  <c r="H10" i="8" s="1"/>
  <c r="D11" i="6"/>
  <c r="D10" i="8" s="1"/>
  <c r="C11" i="6"/>
  <c r="C10" i="8" s="1"/>
  <c r="B11" i="6"/>
  <c r="B10" i="8" s="1"/>
  <c r="A11" i="6"/>
  <c r="A10" i="8" s="1"/>
  <c r="D10" i="6"/>
  <c r="D9" i="8" s="1"/>
  <c r="C10" i="6"/>
  <c r="C9" i="8" s="1"/>
  <c r="B10" i="6"/>
  <c r="B8" i="7" s="1"/>
  <c r="A10" i="6"/>
  <c r="A9" i="8" s="1"/>
  <c r="H9" i="6"/>
  <c r="H8" i="8" s="1"/>
  <c r="D9" i="6"/>
  <c r="D8" i="8" s="1"/>
  <c r="C9" i="6"/>
  <c r="C8" i="8" s="1"/>
  <c r="B9" i="6"/>
  <c r="B8" i="8" s="1"/>
  <c r="A9" i="6"/>
  <c r="A8" i="8" s="1"/>
  <c r="D8" i="6"/>
  <c r="D7" i="8" s="1"/>
  <c r="C8" i="6"/>
  <c r="C7" i="8" s="1"/>
  <c r="B8" i="6"/>
  <c r="B6" i="7" s="1"/>
  <c r="A8" i="6"/>
  <c r="A7" i="8" s="1"/>
  <c r="H7" i="6"/>
  <c r="H6" i="8" s="1"/>
  <c r="D7" i="6"/>
  <c r="D6" i="8" s="1"/>
  <c r="C7" i="6"/>
  <c r="C6" i="8" s="1"/>
  <c r="B7" i="6"/>
  <c r="B6" i="8" s="1"/>
  <c r="A7" i="6"/>
  <c r="A6" i="8" s="1"/>
  <c r="H5" i="6"/>
  <c r="H45" i="7" s="1"/>
  <c r="G5" i="6"/>
  <c r="F5" i="6"/>
  <c r="E5" i="6"/>
  <c r="E45" i="7" s="1"/>
  <c r="D5" i="6"/>
  <c r="D3" i="8" s="1"/>
  <c r="C5" i="6"/>
  <c r="C45" i="7" s="1"/>
  <c r="D35" i="5"/>
  <c r="D37" i="5" s="1"/>
  <c r="G13" i="5"/>
  <c r="G21" i="5" s="1"/>
  <c r="F12" i="5"/>
  <c r="F13" i="5" s="1"/>
  <c r="F21" i="5" s="1"/>
  <c r="E12" i="5"/>
  <c r="E13" i="5" s="1"/>
  <c r="D12" i="5"/>
  <c r="C12" i="5"/>
  <c r="B12" i="5"/>
  <c r="E11" i="5"/>
  <c r="D11" i="5"/>
  <c r="C11" i="5"/>
  <c r="B11" i="5"/>
  <c r="D10" i="5"/>
  <c r="C10" i="5"/>
  <c r="B10" i="5"/>
  <c r="C9" i="5"/>
  <c r="B9" i="5"/>
  <c r="B8" i="5"/>
  <c r="B3" i="5"/>
  <c r="X15" i="3"/>
  <c r="W15" i="3"/>
  <c r="H16" i="6" s="1"/>
  <c r="H15" i="8" s="1"/>
  <c r="V15" i="3"/>
  <c r="G16" i="6" s="1"/>
  <c r="U15" i="3"/>
  <c r="F16" i="6" s="1"/>
  <c r="F14" i="7" s="1"/>
  <c r="T15" i="3"/>
  <c r="E16" i="6" s="1"/>
  <c r="X14" i="3"/>
  <c r="W14" i="3"/>
  <c r="V14" i="3"/>
  <c r="G15" i="6" s="1"/>
  <c r="U14" i="3"/>
  <c r="F15" i="6" s="1"/>
  <c r="T14" i="3"/>
  <c r="E15" i="6" s="1"/>
  <c r="X13" i="3"/>
  <c r="W13" i="3"/>
  <c r="V13" i="3"/>
  <c r="G14" i="6" s="1"/>
  <c r="U13" i="3"/>
  <c r="F14" i="6" s="1"/>
  <c r="T13" i="3"/>
  <c r="E14" i="6" s="1"/>
  <c r="X12" i="3"/>
  <c r="W12" i="3"/>
  <c r="H13" i="6" s="1"/>
  <c r="H12" i="8" s="1"/>
  <c r="V12" i="3"/>
  <c r="G13" i="6" s="1"/>
  <c r="U12" i="3"/>
  <c r="F13" i="6" s="1"/>
  <c r="T12" i="3"/>
  <c r="E13" i="6" s="1"/>
  <c r="E12" i="8" s="1"/>
  <c r="X11" i="3"/>
  <c r="W11" i="3"/>
  <c r="H12" i="6" s="1"/>
  <c r="V11" i="3"/>
  <c r="G12" i="6" s="1"/>
  <c r="U11" i="3"/>
  <c r="F12" i="6" s="1"/>
  <c r="T11" i="3"/>
  <c r="E12" i="6" s="1"/>
  <c r="X10" i="3"/>
  <c r="W10" i="3"/>
  <c r="V10" i="3"/>
  <c r="G11" i="6" s="1"/>
  <c r="U10" i="3"/>
  <c r="F11" i="6" s="1"/>
  <c r="T10" i="3"/>
  <c r="E11" i="6" s="1"/>
  <c r="X9" i="3"/>
  <c r="W9" i="3"/>
  <c r="H10" i="6" s="1"/>
  <c r="V9" i="3"/>
  <c r="G10" i="6" s="1"/>
  <c r="U9" i="3"/>
  <c r="F10" i="6" s="1"/>
  <c r="T9" i="3"/>
  <c r="E10" i="6" s="1"/>
  <c r="X8" i="3"/>
  <c r="W8" i="3"/>
  <c r="V8" i="3"/>
  <c r="G9" i="6" s="1"/>
  <c r="U8" i="3"/>
  <c r="F9" i="6" s="1"/>
  <c r="T8" i="3"/>
  <c r="E9" i="6" s="1"/>
  <c r="X7" i="3"/>
  <c r="W7" i="3"/>
  <c r="H8" i="6" s="1"/>
  <c r="V7" i="3"/>
  <c r="G8" i="6" s="1"/>
  <c r="U7" i="3"/>
  <c r="F8" i="6" s="1"/>
  <c r="F6" i="7" s="1"/>
  <c r="T7" i="3"/>
  <c r="E8" i="6" s="1"/>
  <c r="X6" i="3"/>
  <c r="W6" i="3"/>
  <c r="V6" i="3"/>
  <c r="G7" i="6" s="1"/>
  <c r="U6" i="3"/>
  <c r="F7" i="6" s="1"/>
  <c r="T6" i="3"/>
  <c r="E7" i="6" s="1"/>
  <c r="B17" i="2"/>
  <c r="F13" i="7" l="1"/>
  <c r="F14" i="8"/>
  <c r="G18" i="5"/>
  <c r="H13" i="7"/>
  <c r="D12" i="7"/>
  <c r="A14" i="7"/>
  <c r="A60" i="7" s="1"/>
  <c r="E22" i="5"/>
  <c r="E3" i="8"/>
  <c r="B7" i="8"/>
  <c r="B11" i="8"/>
  <c r="B37" i="8" s="1"/>
  <c r="B13" i="8"/>
  <c r="B39" i="8" s="1"/>
  <c r="E8" i="8"/>
  <c r="E7" i="7"/>
  <c r="F10" i="7"/>
  <c r="F11" i="8"/>
  <c r="G14" i="8"/>
  <c r="G13" i="7"/>
  <c r="A32" i="8"/>
  <c r="A19" i="8"/>
  <c r="B69" i="7"/>
  <c r="B36" i="7"/>
  <c r="B54" i="7"/>
  <c r="B22" i="7"/>
  <c r="A42" i="7"/>
  <c r="A28" i="7"/>
  <c r="A75" i="7"/>
  <c r="F8" i="8"/>
  <c r="F7" i="7"/>
  <c r="G11" i="8"/>
  <c r="G10" i="7"/>
  <c r="B32" i="8"/>
  <c r="B19" i="8"/>
  <c r="D14" i="7"/>
  <c r="H7" i="8"/>
  <c r="H27" i="8" s="1"/>
  <c r="H6" i="7"/>
  <c r="H25" i="8"/>
  <c r="A23" i="8"/>
  <c r="A36" i="8"/>
  <c r="A20" i="8"/>
  <c r="A33" i="8"/>
  <c r="B60" i="7"/>
  <c r="B42" i="7"/>
  <c r="B28" i="7"/>
  <c r="B75" i="7"/>
  <c r="G8" i="8"/>
  <c r="G7" i="7"/>
  <c r="B67" i="7"/>
  <c r="B52" i="7"/>
  <c r="B34" i="7"/>
  <c r="B20" i="7"/>
  <c r="A26" i="8"/>
  <c r="A39" i="8"/>
  <c r="E14" i="7"/>
  <c r="E15" i="8"/>
  <c r="A67" i="7"/>
  <c r="A52" i="7"/>
  <c r="A34" i="7"/>
  <c r="A20" i="7"/>
  <c r="A40" i="8"/>
  <c r="A27" i="8"/>
  <c r="A8" i="7"/>
  <c r="E14" i="8"/>
  <c r="E13" i="7"/>
  <c r="E8" i="7"/>
  <c r="E9" i="8"/>
  <c r="G12" i="8"/>
  <c r="G11" i="7"/>
  <c r="H7" i="7"/>
  <c r="F18" i="5"/>
  <c r="F20" i="5"/>
  <c r="F19" i="5"/>
  <c r="F17" i="5"/>
  <c r="A24" i="8"/>
  <c r="A37" i="8"/>
  <c r="D8" i="7"/>
  <c r="B24" i="8"/>
  <c r="G15" i="8"/>
  <c r="G14" i="7"/>
  <c r="F8" i="7"/>
  <c r="F9" i="8"/>
  <c r="G6" i="8"/>
  <c r="G5" i="7"/>
  <c r="E12" i="7"/>
  <c r="E13" i="8"/>
  <c r="B13" i="5"/>
  <c r="E19" i="5"/>
  <c r="E21" i="5"/>
  <c r="E18" i="5"/>
  <c r="E20" i="5"/>
  <c r="E17" i="5"/>
  <c r="B71" i="7"/>
  <c r="B38" i="7"/>
  <c r="B24" i="7"/>
  <c r="B56" i="7"/>
  <c r="H9" i="7"/>
  <c r="H11" i="8"/>
  <c r="H24" i="8" s="1"/>
  <c r="H10" i="7"/>
  <c r="E6" i="8"/>
  <c r="E5" i="7"/>
  <c r="F6" i="8"/>
  <c r="F5" i="7"/>
  <c r="F12" i="7"/>
  <c r="F13" i="8"/>
  <c r="A21" i="8"/>
  <c r="A34" i="8"/>
  <c r="A10" i="7"/>
  <c r="B28" i="8"/>
  <c r="B73" i="7"/>
  <c r="B58" i="7"/>
  <c r="B40" i="7"/>
  <c r="B26" i="7"/>
  <c r="B23" i="8"/>
  <c r="B36" i="8"/>
  <c r="H9" i="8"/>
  <c r="H8" i="7"/>
  <c r="D13" i="5"/>
  <c r="D21" i="5" s="1"/>
  <c r="F10" i="8"/>
  <c r="F9" i="7"/>
  <c r="C13" i="5"/>
  <c r="B21" i="8"/>
  <c r="B34" i="8"/>
  <c r="D10" i="7"/>
  <c r="A22" i="8"/>
  <c r="A35" i="8"/>
  <c r="F12" i="8"/>
  <c r="F11" i="7"/>
  <c r="G9" i="8"/>
  <c r="G8" i="7"/>
  <c r="E10" i="8"/>
  <c r="E9" i="7"/>
  <c r="G13" i="8"/>
  <c r="G12" i="7"/>
  <c r="G10" i="8"/>
  <c r="G9" i="7"/>
  <c r="F3" i="8"/>
  <c r="F45" i="7"/>
  <c r="A38" i="8"/>
  <c r="A25" i="8"/>
  <c r="H11" i="7"/>
  <c r="E10" i="7"/>
  <c r="E11" i="8"/>
  <c r="E6" i="7"/>
  <c r="E7" i="8"/>
  <c r="G7" i="8"/>
  <c r="G6" i="7"/>
  <c r="G3" i="8"/>
  <c r="G45" i="7"/>
  <c r="B25" i="8"/>
  <c r="B38" i="8"/>
  <c r="A28" i="8"/>
  <c r="A41" i="8"/>
  <c r="A12" i="7"/>
  <c r="D27" i="8"/>
  <c r="D20" i="8"/>
  <c r="D22" i="8"/>
  <c r="D24" i="8"/>
  <c r="D26" i="8"/>
  <c r="D28" i="8"/>
  <c r="G19" i="5"/>
  <c r="H12" i="7"/>
  <c r="H14" i="7"/>
  <c r="F7" i="8"/>
  <c r="F15" i="8"/>
  <c r="G17" i="5"/>
  <c r="A5" i="7"/>
  <c r="A7" i="7"/>
  <c r="A9" i="7"/>
  <c r="A11" i="7"/>
  <c r="A13" i="7"/>
  <c r="B5" i="7"/>
  <c r="B7" i="7"/>
  <c r="B9" i="7"/>
  <c r="B11" i="7"/>
  <c r="B13" i="7"/>
  <c r="F22" i="5"/>
  <c r="C5" i="7"/>
  <c r="C7" i="7"/>
  <c r="C9" i="7"/>
  <c r="C11" i="7"/>
  <c r="C13" i="7"/>
  <c r="G22" i="5"/>
  <c r="D5" i="7"/>
  <c r="D7" i="7"/>
  <c r="D9" i="7"/>
  <c r="D11" i="7"/>
  <c r="D13" i="7"/>
  <c r="E11" i="7"/>
  <c r="G20" i="5"/>
  <c r="D19" i="8"/>
  <c r="D21" i="8"/>
  <c r="D23" i="8"/>
  <c r="D25" i="8"/>
  <c r="C3" i="8"/>
  <c r="C6" i="7"/>
  <c r="C8" i="7"/>
  <c r="C10" i="7"/>
  <c r="C12" i="7"/>
  <c r="C14" i="7"/>
  <c r="B33" i="8" l="1"/>
  <c r="B20" i="8"/>
  <c r="H22" i="8"/>
  <c r="E20" i="8"/>
  <c r="B26" i="8"/>
  <c r="H23" i="8"/>
  <c r="B20" i="5"/>
  <c r="B17" i="5"/>
  <c r="B21" i="5"/>
  <c r="E21" i="8"/>
  <c r="C27" i="7"/>
  <c r="A66" i="7"/>
  <c r="A33" i="7"/>
  <c r="A19" i="7"/>
  <c r="A51" i="7"/>
  <c r="G15" i="7"/>
  <c r="G19" i="7" s="1"/>
  <c r="E27" i="8"/>
  <c r="H20" i="8"/>
  <c r="C44" i="8"/>
  <c r="C20" i="7"/>
  <c r="E25" i="8"/>
  <c r="E19" i="8"/>
  <c r="C23" i="7"/>
  <c r="A58" i="7"/>
  <c r="A40" i="7"/>
  <c r="A26" i="7"/>
  <c r="A73" i="7"/>
  <c r="A56" i="7"/>
  <c r="A71" i="7"/>
  <c r="A38" i="7"/>
  <c r="A24" i="7"/>
  <c r="E28" i="8"/>
  <c r="C17" i="5"/>
  <c r="C18" i="5"/>
  <c r="C22" i="5"/>
  <c r="C21" i="5"/>
  <c r="G28" i="7"/>
  <c r="G27" i="7"/>
  <c r="B74" i="7"/>
  <c r="B41" i="7"/>
  <c r="B59" i="7"/>
  <c r="B27" i="7"/>
  <c r="E26" i="8"/>
  <c r="G26" i="7"/>
  <c r="C19" i="5"/>
  <c r="B19" i="5"/>
  <c r="E23" i="8"/>
  <c r="E26" i="7"/>
  <c r="E25" i="7"/>
  <c r="B72" i="7"/>
  <c r="B57" i="7"/>
  <c r="B39" i="7"/>
  <c r="B25" i="7"/>
  <c r="E24" i="8"/>
  <c r="G27" i="8"/>
  <c r="G25" i="8"/>
  <c r="G23" i="8"/>
  <c r="G21" i="8"/>
  <c r="G19" i="8"/>
  <c r="G28" i="8"/>
  <c r="G26" i="8"/>
  <c r="G24" i="8"/>
  <c r="G22" i="8"/>
  <c r="G20" i="8"/>
  <c r="F23" i="7"/>
  <c r="H26" i="8"/>
  <c r="G24" i="7"/>
  <c r="D15" i="7"/>
  <c r="D21" i="7" s="1"/>
  <c r="C25" i="7"/>
  <c r="C28" i="8"/>
  <c r="C26" i="8"/>
  <c r="C24" i="8"/>
  <c r="C22" i="8"/>
  <c r="C20" i="8"/>
  <c r="C27" i="8"/>
  <c r="C25" i="8"/>
  <c r="C23" i="8"/>
  <c r="C21" i="8"/>
  <c r="C19" i="8"/>
  <c r="C15" i="7"/>
  <c r="C21" i="7" s="1"/>
  <c r="C19" i="7"/>
  <c r="B55" i="7"/>
  <c r="B70" i="7"/>
  <c r="B37" i="7"/>
  <c r="B23" i="7"/>
  <c r="E22" i="8"/>
  <c r="C20" i="5"/>
  <c r="E23" i="7"/>
  <c r="F26" i="7"/>
  <c r="H15" i="7"/>
  <c r="H21" i="7" s="1"/>
  <c r="H28" i="8"/>
  <c r="A37" i="7"/>
  <c r="A55" i="7"/>
  <c r="A23" i="7"/>
  <c r="A70" i="7"/>
  <c r="F27" i="8"/>
  <c r="F25" i="8"/>
  <c r="F23" i="8"/>
  <c r="F21" i="8"/>
  <c r="F19" i="8"/>
  <c r="F28" i="8"/>
  <c r="F26" i="8"/>
  <c r="F24" i="8"/>
  <c r="F22" i="8"/>
  <c r="F20" i="8"/>
  <c r="C26" i="7"/>
  <c r="D27" i="7"/>
  <c r="F15" i="7"/>
  <c r="F19" i="7" s="1"/>
  <c r="A69" i="7"/>
  <c r="A36" i="7"/>
  <c r="A54" i="7"/>
  <c r="A22" i="7"/>
  <c r="G21" i="7"/>
  <c r="H19" i="8"/>
  <c r="F21" i="7"/>
  <c r="E21" i="7"/>
  <c r="A39" i="7"/>
  <c r="A25" i="7"/>
  <c r="A72" i="7"/>
  <c r="A57" i="7"/>
  <c r="G23" i="7"/>
  <c r="B18" i="5"/>
  <c r="B35" i="7"/>
  <c r="B68" i="7"/>
  <c r="B53" i="7"/>
  <c r="B21" i="7"/>
  <c r="G20" i="7"/>
  <c r="D18" i="5"/>
  <c r="D22" i="5"/>
  <c r="D17" i="5"/>
  <c r="D19" i="5"/>
  <c r="B22" i="5"/>
  <c r="H22" i="5" s="1"/>
  <c r="C24" i="7"/>
  <c r="D25" i="7"/>
  <c r="B33" i="7"/>
  <c r="B51" i="7"/>
  <c r="B66" i="7"/>
  <c r="B19" i="7"/>
  <c r="G22" i="7"/>
  <c r="H21" i="8"/>
  <c r="A35" i="7"/>
  <c r="A53" i="7"/>
  <c r="A21" i="7"/>
  <c r="A68" i="7"/>
  <c r="G25" i="7"/>
  <c r="C22" i="7"/>
  <c r="D23" i="7"/>
  <c r="A41" i="7"/>
  <c r="A27" i="7"/>
  <c r="A74" i="7"/>
  <c r="A59" i="7"/>
  <c r="E15" i="7"/>
  <c r="E24" i="7" s="1"/>
  <c r="D20" i="5"/>
  <c r="D24" i="7" l="1"/>
  <c r="D28" i="7"/>
  <c r="D19" i="7"/>
  <c r="C28" i="7"/>
  <c r="E27" i="7"/>
  <c r="H23" i="7"/>
  <c r="F24" i="7"/>
  <c r="D22" i="7"/>
  <c r="H19" i="7"/>
  <c r="H27" i="7"/>
  <c r="H24" i="7"/>
  <c r="H20" i="7"/>
  <c r="E22" i="7"/>
  <c r="H28" i="7"/>
  <c r="H19" i="5"/>
  <c r="H6" i="6"/>
  <c r="G26" i="5"/>
  <c r="B33" i="5"/>
  <c r="D20" i="7"/>
  <c r="D26" i="7"/>
  <c r="H26" i="7"/>
  <c r="H21" i="5"/>
  <c r="E20" i="7"/>
  <c r="F27" i="7"/>
  <c r="F20" i="7"/>
  <c r="F28" i="7"/>
  <c r="H17" i="5"/>
  <c r="H25" i="7"/>
  <c r="F25" i="7"/>
  <c r="H20" i="5"/>
  <c r="H22" i="7"/>
  <c r="E28" i="7"/>
  <c r="E19" i="7"/>
  <c r="H18" i="5"/>
  <c r="F22" i="7"/>
  <c r="B29" i="5" l="1"/>
  <c r="D6" i="6"/>
  <c r="C26" i="5"/>
  <c r="E6" i="6"/>
  <c r="B30" i="5"/>
  <c r="D26" i="5"/>
  <c r="F26" i="5"/>
  <c r="G6" i="6"/>
  <c r="B32" i="5"/>
  <c r="E26" i="5"/>
  <c r="B31" i="5"/>
  <c r="F6" i="6"/>
  <c r="B28" i="5"/>
  <c r="C6" i="6"/>
  <c r="B26" i="5"/>
  <c r="H23" i="5"/>
  <c r="H4" i="8"/>
  <c r="H31" i="7"/>
  <c r="C4" i="8" l="1"/>
  <c r="C31" i="7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D34" i="5" s="1"/>
  <c r="D36" i="5" s="1"/>
  <c r="D38" i="5" s="1"/>
  <c r="F31" i="7"/>
  <c r="F4" i="8"/>
  <c r="D4" i="8"/>
  <c r="D31" i="7"/>
  <c r="G31" i="7"/>
  <c r="G4" i="8"/>
  <c r="E4" i="8"/>
  <c r="E31" i="7"/>
  <c r="H41" i="7"/>
  <c r="H39" i="7"/>
  <c r="H37" i="7"/>
  <c r="H35" i="7"/>
  <c r="H33" i="7"/>
  <c r="H38" i="7"/>
  <c r="H36" i="7"/>
  <c r="H34" i="7"/>
  <c r="H40" i="7"/>
  <c r="H42" i="7"/>
  <c r="G42" i="7" l="1"/>
  <c r="G40" i="7"/>
  <c r="G38" i="7"/>
  <c r="G36" i="7"/>
  <c r="G34" i="7"/>
  <c r="G41" i="7"/>
  <c r="G39" i="7"/>
  <c r="G37" i="7"/>
  <c r="G35" i="7"/>
  <c r="G33" i="7"/>
  <c r="D39" i="5"/>
  <c r="B10" i="9"/>
  <c r="H46" i="7"/>
  <c r="H73" i="7" s="1"/>
  <c r="H47" i="7"/>
  <c r="H71" i="7" s="1"/>
  <c r="D41" i="7"/>
  <c r="D39" i="7"/>
  <c r="D37" i="7"/>
  <c r="D35" i="7"/>
  <c r="D33" i="7"/>
  <c r="D40" i="7"/>
  <c r="D42" i="7"/>
  <c r="D34" i="7"/>
  <c r="D38" i="7"/>
  <c r="D36" i="7"/>
  <c r="C42" i="7"/>
  <c r="C40" i="7"/>
  <c r="C38" i="7"/>
  <c r="C36" i="7"/>
  <c r="C34" i="7"/>
  <c r="C41" i="7"/>
  <c r="C39" i="7"/>
  <c r="C37" i="7"/>
  <c r="C35" i="7"/>
  <c r="C33" i="7"/>
  <c r="E42" i="7"/>
  <c r="E40" i="7"/>
  <c r="E41" i="7"/>
  <c r="E39" i="7"/>
  <c r="E37" i="7"/>
  <c r="E35" i="7"/>
  <c r="E33" i="7"/>
  <c r="E38" i="7"/>
  <c r="E36" i="7"/>
  <c r="E34" i="7"/>
  <c r="F42" i="7"/>
  <c r="F40" i="7"/>
  <c r="F38" i="7"/>
  <c r="F36" i="7"/>
  <c r="F34" i="7"/>
  <c r="F41" i="7"/>
  <c r="F39" i="7"/>
  <c r="F37" i="7"/>
  <c r="F35" i="7"/>
  <c r="F33" i="7"/>
  <c r="C39" i="8"/>
  <c r="C36" i="8"/>
  <c r="C41" i="8"/>
  <c r="C33" i="8"/>
  <c r="C38" i="8"/>
  <c r="C40" i="8"/>
  <c r="C37" i="8"/>
  <c r="C34" i="8"/>
  <c r="C32" i="8"/>
  <c r="D32" i="8" s="1"/>
  <c r="C35" i="8"/>
  <c r="D33" i="8" l="1"/>
  <c r="D41" i="8"/>
  <c r="H74" i="7"/>
  <c r="D38" i="8"/>
  <c r="D36" i="8"/>
  <c r="D37" i="8"/>
  <c r="D39" i="8"/>
  <c r="D34" i="8"/>
  <c r="D40" i="8"/>
  <c r="D35" i="8"/>
  <c r="H70" i="7"/>
  <c r="H66" i="7"/>
  <c r="E46" i="7"/>
  <c r="E47" i="7"/>
  <c r="H67" i="7"/>
  <c r="H72" i="7"/>
  <c r="F47" i="7"/>
  <c r="F46" i="7"/>
  <c r="H68" i="7"/>
  <c r="D69" i="7"/>
  <c r="H69" i="7"/>
  <c r="F70" i="7"/>
  <c r="D71" i="7"/>
  <c r="G47" i="7"/>
  <c r="G46" i="7"/>
  <c r="G72" i="7" s="1"/>
  <c r="F67" i="7"/>
  <c r="C47" i="7"/>
  <c r="D57" i="7" s="1"/>
  <c r="C46" i="7"/>
  <c r="C71" i="7" s="1"/>
  <c r="D46" i="7"/>
  <c r="D73" i="7" s="1"/>
  <c r="D47" i="7"/>
  <c r="F71" i="7"/>
  <c r="D68" i="7"/>
  <c r="D72" i="7"/>
  <c r="H75" i="7"/>
  <c r="G75" i="7" l="1"/>
  <c r="G73" i="7"/>
  <c r="G66" i="7"/>
  <c r="E69" i="7"/>
  <c r="G69" i="7"/>
  <c r="E74" i="7"/>
  <c r="G70" i="7"/>
  <c r="G71" i="7"/>
  <c r="G67" i="7"/>
  <c r="G74" i="7"/>
  <c r="F73" i="7"/>
  <c r="G68" i="7"/>
  <c r="D52" i="7"/>
  <c r="C51" i="7"/>
  <c r="C67" i="7"/>
  <c r="C56" i="7"/>
  <c r="D60" i="7"/>
  <c r="E75" i="7"/>
  <c r="D56" i="7"/>
  <c r="C60" i="7"/>
  <c r="C66" i="7"/>
  <c r="E66" i="7"/>
  <c r="F68" i="7"/>
  <c r="C74" i="7"/>
  <c r="F75" i="7"/>
  <c r="D66" i="7"/>
  <c r="F74" i="7"/>
  <c r="E70" i="7"/>
  <c r="C55" i="7"/>
  <c r="D58" i="7"/>
  <c r="C52" i="7"/>
  <c r="C54" i="7"/>
  <c r="D54" i="7"/>
  <c r="D70" i="7"/>
  <c r="C68" i="7"/>
  <c r="D67" i="7"/>
  <c r="C73" i="7"/>
  <c r="C59" i="7"/>
  <c r="E72" i="7"/>
  <c r="D75" i="7"/>
  <c r="C58" i="7"/>
  <c r="D55" i="7"/>
  <c r="D53" i="7"/>
  <c r="C53" i="7"/>
  <c r="C72" i="7"/>
  <c r="F69" i="7"/>
  <c r="F72" i="7"/>
  <c r="E71" i="7"/>
  <c r="I71" i="7" s="1"/>
  <c r="D51" i="7"/>
  <c r="D59" i="7"/>
  <c r="C69" i="7"/>
  <c r="C57" i="7"/>
  <c r="E57" i="7" s="1"/>
  <c r="E73" i="7"/>
  <c r="F66" i="7"/>
  <c r="E67" i="7"/>
  <c r="E68" i="7"/>
  <c r="C75" i="7"/>
  <c r="I75" i="7" s="1"/>
  <c r="C70" i="7"/>
  <c r="D74" i="7"/>
  <c r="E55" i="7" l="1"/>
  <c r="I74" i="7"/>
  <c r="I73" i="7"/>
  <c r="E56" i="7"/>
  <c r="I69" i="7"/>
  <c r="I70" i="7"/>
  <c r="E51" i="7"/>
  <c r="E54" i="7"/>
  <c r="E60" i="7"/>
  <c r="E59" i="7"/>
  <c r="I67" i="7"/>
  <c r="E58" i="7"/>
  <c r="E52" i="7"/>
  <c r="F56" i="7" s="1"/>
  <c r="E37" i="8" s="1"/>
  <c r="F37" i="8" s="1"/>
  <c r="G37" i="8" s="1"/>
  <c r="I66" i="7"/>
  <c r="E62" i="7"/>
  <c r="I72" i="7"/>
  <c r="I68" i="7"/>
  <c r="E53" i="7"/>
  <c r="F53" i="7" l="1"/>
  <c r="E34" i="8" s="1"/>
  <c r="F34" i="8" s="1"/>
  <c r="G34" i="8" s="1"/>
  <c r="F54" i="7"/>
  <c r="E35" i="8" s="1"/>
  <c r="F35" i="8" s="1"/>
  <c r="G35" i="8" s="1"/>
  <c r="F59" i="7"/>
  <c r="E40" i="8" s="1"/>
  <c r="F40" i="8" s="1"/>
  <c r="G40" i="8" s="1"/>
  <c r="F55" i="7"/>
  <c r="E36" i="8" s="1"/>
  <c r="F36" i="8" s="1"/>
  <c r="G36" i="8" s="1"/>
  <c r="F51" i="7"/>
  <c r="F52" i="7"/>
  <c r="E33" i="8" s="1"/>
  <c r="F33" i="8" s="1"/>
  <c r="G33" i="8" s="1"/>
  <c r="F58" i="7"/>
  <c r="E39" i="8" s="1"/>
  <c r="F39" i="8" s="1"/>
  <c r="G39" i="8" s="1"/>
  <c r="F60" i="7"/>
  <c r="E41" i="8" s="1"/>
  <c r="F41" i="8" s="1"/>
  <c r="G41" i="8" s="1"/>
  <c r="F57" i="7"/>
  <c r="E38" i="8" s="1"/>
  <c r="F38" i="8" s="1"/>
  <c r="G38" i="8" s="1"/>
  <c r="C22" i="9" l="1"/>
  <c r="C20" i="9"/>
  <c r="B22" i="9"/>
  <c r="B20" i="9"/>
  <c r="B18" i="9"/>
  <c r="B16" i="9"/>
  <c r="B14" i="9"/>
  <c r="C62" i="7"/>
  <c r="H19" i="9"/>
  <c r="H17" i="9"/>
  <c r="H15" i="9"/>
  <c r="H13" i="9"/>
  <c r="B27" i="9" s="1"/>
  <c r="H21" i="9"/>
  <c r="C21" i="9"/>
  <c r="C19" i="9"/>
  <c r="C17" i="9"/>
  <c r="C15" i="9"/>
  <c r="C13" i="9"/>
  <c r="B21" i="9"/>
  <c r="B19" i="9"/>
  <c r="B17" i="9"/>
  <c r="B15" i="9"/>
  <c r="B13" i="9"/>
  <c r="H22" i="9"/>
  <c r="H20" i="9"/>
  <c r="H18" i="9"/>
  <c r="H16" i="9"/>
  <c r="H14" i="9"/>
  <c r="C18" i="9"/>
  <c r="C16" i="9"/>
  <c r="C14" i="9"/>
  <c r="E32" i="8"/>
  <c r="F32" i="8" s="1"/>
  <c r="G32" i="8" s="1"/>
  <c r="G42" i="8" s="1"/>
  <c r="C45" i="8" s="1"/>
  <c r="C46" i="8" s="1"/>
  <c r="E37" i="9" l="1"/>
  <c r="F37" i="9" s="1"/>
  <c r="E33" i="9"/>
  <c r="F33" i="9" s="1"/>
  <c r="D37" i="9"/>
  <c r="D33" i="9"/>
  <c r="I13" i="9"/>
  <c r="E36" i="9"/>
  <c r="F36" i="9" s="1"/>
  <c r="E32" i="9"/>
  <c r="F32" i="9" s="1"/>
  <c r="G13" i="9"/>
  <c r="D36" i="9"/>
  <c r="D32" i="9"/>
  <c r="F13" i="9"/>
  <c r="E13" i="9"/>
  <c r="D13" i="9"/>
  <c r="E35" i="9"/>
  <c r="F35" i="9" s="1"/>
  <c r="D35" i="9"/>
  <c r="E34" i="9"/>
  <c r="F34" i="9" s="1"/>
  <c r="D34" i="9"/>
  <c r="D14" i="9"/>
  <c r="I14" i="9"/>
  <c r="G14" i="9"/>
  <c r="F14" i="9"/>
  <c r="E14" i="9"/>
  <c r="D16" i="9"/>
  <c r="I16" i="9"/>
  <c r="G16" i="9"/>
  <c r="F16" i="9"/>
  <c r="E16" i="9"/>
  <c r="D18" i="9"/>
  <c r="I18" i="9"/>
  <c r="G18" i="9"/>
  <c r="F18" i="9"/>
  <c r="E18" i="9"/>
  <c r="I19" i="9"/>
  <c r="G19" i="9"/>
  <c r="F19" i="9"/>
  <c r="E19" i="9"/>
  <c r="D19" i="9"/>
  <c r="D20" i="9"/>
  <c r="I20" i="9"/>
  <c r="G20" i="9"/>
  <c r="F20" i="9"/>
  <c r="E20" i="9"/>
  <c r="I15" i="9"/>
  <c r="G15" i="9"/>
  <c r="F15" i="9"/>
  <c r="E15" i="9"/>
  <c r="D15" i="9"/>
  <c r="D22" i="9"/>
  <c r="I22" i="9"/>
  <c r="G22" i="9"/>
  <c r="F22" i="9"/>
  <c r="E22" i="9"/>
  <c r="I17" i="9"/>
  <c r="G17" i="9"/>
  <c r="F17" i="9"/>
  <c r="E17" i="9"/>
  <c r="D17" i="9"/>
  <c r="I21" i="9"/>
  <c r="G21" i="9"/>
  <c r="F21" i="9"/>
  <c r="E21" i="9"/>
  <c r="D21" i="9"/>
  <c r="B28" i="9"/>
  <c r="B26" i="9"/>
</calcChain>
</file>

<file path=xl/sharedStrings.xml><?xml version="1.0" encoding="utf-8"?>
<sst xmlns="http://schemas.openxmlformats.org/spreadsheetml/2006/main" count="412" uniqueCount="275">
  <si>
    <t>TravelFit — Perhitungan SPK (AHP + TOPSIS) yang Dapat Ditelusuri</t>
  </si>
  <si>
    <t>Setiap angka turunan di workbook ini adalah formula Excel. Ubah sel input (kuning) dan seluruh hasil ikut berubah.</t>
  </si>
  <si>
    <t>LEGENDA WARNA</t>
  </si>
  <si>
    <t>Teks biru + latar kuning</t>
  </si>
  <si>
    <t>Sel INPUT — boleh diubah (data dummy, profil pengguna, matriks berpasangan AHP)</t>
  </si>
  <si>
    <t>Teks hitam</t>
  </si>
  <si>
    <t>Formula perhitungan di sheet yang sama</t>
  </si>
  <si>
    <t>Teks hijau</t>
  </si>
  <si>
    <t>Formula yang menautkan ke sheet lain (link)</t>
  </si>
  <si>
    <t>Latar hijau muda</t>
  </si>
  <si>
    <t>Alternatif terbaik / hasil akhir</t>
  </si>
  <si>
    <t>ALUR PERHITUNGAN (urutan sheet)</t>
  </si>
  <si>
    <t>1. Profil_User</t>
  </si>
  <si>
    <t>Preferensi pengguna: kota asal (koordinat), budget, wilayah, kategori minat, hobi</t>
  </si>
  <si>
    <t>2. Data_Alternatif</t>
  </si>
  <si>
    <t>10 destinasi dummy + atribut turunan C3 (haversine), C4 (fasilitas), C5 (kategori), C6 (Jaccard), dan filter kelayakan</t>
  </si>
  <si>
    <t>3. Kriteria</t>
  </si>
  <si>
    <t>Definisi C1–C6, jenis Cost/Benefit</t>
  </si>
  <si>
    <t>4. AHP_Bobot</t>
  </si>
  <si>
    <t>Matriks perbandingan berpasangan → normalisasi → bobot → λmax, CI, RI, CR (&lt; 0,1 = konsisten)</t>
  </si>
  <si>
    <t>5. Matriks_Keputusan</t>
  </si>
  <si>
    <t>Matriks X (10 alternatif × 6 kriteria) yang menjadi input TOPSIS dan SAW</t>
  </si>
  <si>
    <t>6. TOPSIS</t>
  </si>
  <si>
    <t>Normalisasi vektor → terbobot → A+ / A− → D+ / D− → Vi → peringkat → alternatif terbaik → kedekatan per kriteria (explainability)</t>
  </si>
  <si>
    <t>7. SAW_Pembanding</t>
  </si>
  <si>
    <t>Ranking SAW dengan bobot yang sama + Spearman ρ terhadap TOPSIS (validasi, bukan penentu rekomendasi)</t>
  </si>
  <si>
    <t>8. Hasil</t>
  </si>
  <si>
    <t>Ranking akhir terurut, alternatif terbaik, dan alasan per kriteria</t>
  </si>
  <si>
    <t>KONVENSI YANG WAJIB DIIKUTI APLIKASI WEB (agar hasil 100% identik)</t>
  </si>
  <si>
    <t>C3 Jarak</t>
  </si>
  <si>
    <t>Haversine, R = 6371 km, dari koordinat kota asal ke koordinat destinasi</t>
  </si>
  <si>
    <t>C4 Fasilitas</t>
  </si>
  <si>
    <t>Jumlah fasilitas tersedia ÷ jumlah jenis fasilitas yang dinilai (5)</t>
  </si>
  <si>
    <t>C5 Kategori</t>
  </si>
  <si>
    <t>1 jika = kategori utama; 0,5 jika = kategori sekunder; 0 selain itu</t>
  </si>
  <si>
    <t>C6 Hobi</t>
  </si>
  <si>
    <t>Jaccard = |hobi ∩ tag| ÷ |hobi ∪ tag|; 0 jika gabungan kosong</t>
  </si>
  <si>
    <t>Filter keras</t>
  </si>
  <si>
    <t>Hanya budget (harga ≤ budget) dan wilayah (provinsi = wilayah). Kategori &amp; hobi TIDAK difilter</t>
  </si>
  <si>
    <t>AHP bobot</t>
  </si>
  <si>
    <t>w_i = rata-rata baris dari matriks yang dinormalisasi per kolom (Σ kolom = 1)</t>
  </si>
  <si>
    <t>AHP λmax</t>
  </si>
  <si>
    <t>λmax = rata-rata dari (A·w)_i ÷ w_i ; CI = (λmax − n)/(n − 1) ; CR = CI/RI, RI(n=6) = 1,24 (Saaty)</t>
  </si>
  <si>
    <t>TOPSIS normalisasi</t>
  </si>
  <si>
    <t>r_ij = x_ij ÷ √Σ_i x_ij² (normalisasi vektor)</t>
  </si>
  <si>
    <t>TOPSIS ideal</t>
  </si>
  <si>
    <t>Benefit: A+ = max v, A− = min v ; Cost: A+ = min v, A− = max v</t>
  </si>
  <si>
    <t>TOPSIS jarak</t>
  </si>
  <si>
    <t>Euclidean: D± = √Σ_j (v_ij − A±_j)² ; Vi = D− ÷ (D+ + D−)</t>
  </si>
  <si>
    <t>Peringkat</t>
  </si>
  <si>
    <t>Vi terbesar = peringkat 1 (RANK menurun)</t>
  </si>
  <si>
    <t>Explainability</t>
  </si>
  <si>
    <t>c_ij = 1 − |v_ij − A+_j| ÷ |A+_j − A−_j| (1 = tepat di ideal, 0 = tepat di anti-ideal)</t>
  </si>
  <si>
    <t>SAW (pembanding)</t>
  </si>
  <si>
    <t>Benefit r = x ÷ max ; Cost r = min ÷ x ; S_i = Σ w_j r_ij</t>
  </si>
  <si>
    <t>Spearman</t>
  </si>
  <si>
    <t>ρ = 1 − 6Σd² ÷ (n(n² − 1)), d = peringkat TOPSIS − peringkat SAW</t>
  </si>
  <si>
    <t>CATATAN</t>
  </si>
  <si>
    <t>Data</t>
  </si>
  <si>
    <t>Seluruh angka destinasi adalah DUMMY/ilustrasi (nama tempat nyata, nilai fiktif) — bukan hasil pengumpulan data</t>
  </si>
  <si>
    <t>K-Means</t>
  </si>
  <si>
    <t>Tidak dihitung di workbook ini; label cluster hanya bersifat keterangan pada tahap Deployment</t>
  </si>
  <si>
    <t>Presisi</t>
  </si>
  <si>
    <t>Excel/aplikasi web sama-sama memakai floating-point 64-bit; hasil identik sampai pembulatan 4 desimal</t>
  </si>
  <si>
    <t>1. Profil Preferensi Pengguna</t>
  </si>
  <si>
    <t>Sel kuning = input. Semua sheet lain merujuk ke sini.</t>
  </si>
  <si>
    <t>Parameter</t>
  </si>
  <si>
    <t>Nilai</t>
  </si>
  <si>
    <t>Keterangan</t>
  </si>
  <si>
    <t>Kota asal</t>
  </si>
  <si>
    <t>Bandung</t>
  </si>
  <si>
    <t>Nama kota asal pengguna</t>
  </si>
  <si>
    <t>Latitude kota asal</t>
  </si>
  <si>
    <t>Derajat desimal (untuk haversine C3)</t>
  </si>
  <si>
    <t>Longitude kota asal</t>
  </si>
  <si>
    <t>Derajat desimal</t>
  </si>
  <si>
    <t>Budget maksimal (Rp)</t>
  </si>
  <si>
    <t>Filter keras: harga tiket ≤ budget</t>
  </si>
  <si>
    <t>Wilayah tujuan (Provinsi)</t>
  </si>
  <si>
    <t>Jawa Barat</t>
  </si>
  <si>
    <t>Filter keras: provinsi destinasi = wilayah</t>
  </si>
  <si>
    <t>Kategori utama</t>
  </si>
  <si>
    <t>Alam</t>
  </si>
  <si>
    <t>Skor C5 = 1</t>
  </si>
  <si>
    <t>Kategori sekunder</t>
  </si>
  <si>
    <t>Budaya</t>
  </si>
  <si>
    <t>Skor C5 = 0,5</t>
  </si>
  <si>
    <t>Profil prioritas (AHP)</t>
  </si>
  <si>
    <t>Seimbang</t>
  </si>
  <si>
    <t>Nama profil untuk matriks berpasangan di sheet AHP_Bobot</t>
  </si>
  <si>
    <t>Hobi pengguna (1 = ya, 0 = tidak)</t>
  </si>
  <si>
    <t>Tag aktivitas</t>
  </si>
  <si>
    <t>Hiking</t>
  </si>
  <si>
    <t>Fotografi</t>
  </si>
  <si>
    <t>Kuliner</t>
  </si>
  <si>
    <t>Air/Pantai</t>
  </si>
  <si>
    <t>Sejarah</t>
  </si>
  <si>
    <t>Keluarga</t>
  </si>
  <si>
    <t>Hobi pengguna</t>
  </si>
  <si>
    <t>Jumlah hobi dipilih</t>
  </si>
  <si>
    <t>2. Data Alternatif (10 destinasi dummy) + Atribut Turunan</t>
  </si>
  <si>
    <t>Kolom A–S = data mentah (input). Kolom T–X = formula. Nama tempat nyata, seluruh nilai fiktif untuk ilustrasi.</t>
  </si>
  <si>
    <t>Fasilitas (1 = ada)</t>
  </si>
  <si>
    <t>Tag aktivitas (1 = ada)</t>
  </si>
  <si>
    <t>Atribut turunan (formula) &amp; filter</t>
  </si>
  <si>
    <t>ID</t>
  </si>
  <si>
    <t>Nama Destinasi</t>
  </si>
  <si>
    <t>Provinsi</t>
  </si>
  <si>
    <t>Kategori</t>
  </si>
  <si>
    <t>Harga Tiket (Rp)</t>
  </si>
  <si>
    <t>Rating (1–5)</t>
  </si>
  <si>
    <t>Latitude</t>
  </si>
  <si>
    <t>Longitude</t>
  </si>
  <si>
    <t>Toilet</t>
  </si>
  <si>
    <t>Parkir</t>
  </si>
  <si>
    <t>Warung</t>
  </si>
  <si>
    <t>Mushola</t>
  </si>
  <si>
    <t>Penginapan</t>
  </si>
  <si>
    <t>C3 Jarak (km)</t>
  </si>
  <si>
    <t>C4 Skor Fasilitas</t>
  </si>
  <si>
    <t>C5 Skor Kategori</t>
  </si>
  <si>
    <t>C6 Jaccard Hobi</t>
  </si>
  <si>
    <t>Lolos Filter?</t>
  </si>
  <si>
    <t>A1</t>
  </si>
  <si>
    <t>Kawah Putih Ciwidey</t>
  </si>
  <si>
    <t>A2</t>
  </si>
  <si>
    <t>Gunung Tangkuban Perahu</t>
  </si>
  <si>
    <t>A3</t>
  </si>
  <si>
    <t>Saung Angklung Udjo</t>
  </si>
  <si>
    <t>A4</t>
  </si>
  <si>
    <t>Farmhouse Lembang</t>
  </si>
  <si>
    <t>Hiburan</t>
  </si>
  <si>
    <t>A5</t>
  </si>
  <si>
    <t>Trans Studio Bandung</t>
  </si>
  <si>
    <t>A6</t>
  </si>
  <si>
    <t>Pantai Pangandaran</t>
  </si>
  <si>
    <t>A7</t>
  </si>
  <si>
    <t>Museum Geologi Bandung</t>
  </si>
  <si>
    <t>A8</t>
  </si>
  <si>
    <t>Dusun Bambu Lembang</t>
  </si>
  <si>
    <t>A9</t>
  </si>
  <si>
    <t>Situ Patenggang</t>
  </si>
  <si>
    <t>A10</t>
  </si>
  <si>
    <t>Masjid Raya Al Jabbar</t>
  </si>
  <si>
    <t>Religi</t>
  </si>
  <si>
    <t>Keterangan formula:</t>
  </si>
  <si>
    <t>C3 = 2·6371·asin(√(sin²(Δlat/2) + cos(lat1)·cos(lat2)·sin²(Δlon/2))) — haversine dari kota asal (Profil_User) ke destinasi.</t>
  </si>
  <si>
    <t>C4 = jumlah fasilitas yang ada ÷ 5 jenis fasilitas yang dinilai.</t>
  </si>
  <si>
    <t>C5 = 1 (kategori utama) / 0,5 (kategori sekunder) / 0 (lainnya) — dibandingkan dengan Profil_User.</t>
  </si>
  <si>
    <t>C6 = Jaccard: |tag ∩ hobi| ÷ |tag ∪ hobi|; SUMPRODUCT menghitung irisan, SUM + SUM − irisan menghitung gabungan.</t>
  </si>
  <si>
    <t>Lolos Filter = harga ≤ budget DAN provinsi = wilayah tujuan. Hanya alternatif yang lolos yang dibawa ke Matriks_Keputusan (pada contoh ini semuanya lolos).</t>
  </si>
  <si>
    <t>3. Kriteria Keputusan (C1–C6)</t>
  </si>
  <si>
    <t>Kode</t>
  </si>
  <si>
    <t>Kriteria</t>
  </si>
  <si>
    <t>Jenis</t>
  </si>
  <si>
    <t>Sumber nilai (Data_Alternatif)</t>
  </si>
  <si>
    <t>Penjelasan</t>
  </si>
  <si>
    <t>C1</t>
  </si>
  <si>
    <t>Cost</t>
  </si>
  <si>
    <t>Kolom E (Harga Tiket)</t>
  </si>
  <si>
    <t>Semakin murah semakin baik; dibatasi budget sebagai filter keras</t>
  </si>
  <si>
    <t>C2</t>
  </si>
  <si>
    <t>Rating Pengunjung</t>
  </si>
  <si>
    <t>Benefit</t>
  </si>
  <si>
    <t>Kolom F (Rating)</t>
  </si>
  <si>
    <t>Penilaian rata-rata pengunjung, skala 1–5</t>
  </si>
  <si>
    <t>C3</t>
  </si>
  <si>
    <t>Jarak (km)</t>
  </si>
  <si>
    <t>Kolom T (haversine)</t>
  </si>
  <si>
    <t>Jarak garis lurus dari kota asal pengguna; semakin dekat semakin baik</t>
  </si>
  <si>
    <t>C4</t>
  </si>
  <si>
    <t>Skor Fasilitas</t>
  </si>
  <si>
    <t>Kolom U (fasilitas/5)</t>
  </si>
  <si>
    <t>Ketersediaan fasilitas pendukung (toilet, parkir, warung, mushola, penginapan)</t>
  </si>
  <si>
    <t>C5</t>
  </si>
  <si>
    <t>Skor Kategori</t>
  </si>
  <si>
    <t>Kolom V (1 / 0,5 / 0)</t>
  </si>
  <si>
    <t>Kecocokan kategori destinasi dengan minat pengguna (bertingkat, bukan filter)</t>
  </si>
  <si>
    <t>C6</t>
  </si>
  <si>
    <t>Skor Hobi (Jaccard)</t>
  </si>
  <si>
    <t>Kolom W (Jaccard)</t>
  </si>
  <si>
    <t>Kemiripan tag aktivitas destinasi dengan hobi pengguna (Jaccard Similarity)</t>
  </si>
  <si>
    <t>Jenis kriteria (Cost/Benefit) adalah input: TOPSIS dan SAW membaca kolom C untuk menentukan arah solusi ideal dan rumus normalisasi.</t>
  </si>
  <si>
    <t>4. AHP — Pembobotan Kriteria</t>
  </si>
  <si>
    <t>Isi hanya segitiga atas (kuning). Segitiga bawah otomatis = 1/kebalikannya (aksioma resiprokal AHP).</t>
  </si>
  <si>
    <t>Profil prioritas:</t>
  </si>
  <si>
    <t>Skala Saaty: 1 = sama penting, 3 = sedikit lebih penting, 5 = lebih penting, 7 = sangat lebih penting, 9 = mutlak; 2,4,6,8 = nilai antara.</t>
  </si>
  <si>
    <t>4a. Matriks perbandingan berpasangan A (baris i dibanding kolom j)</t>
  </si>
  <si>
    <t>A</t>
  </si>
  <si>
    <t>n</t>
  </si>
  <si>
    <t>RI</t>
  </si>
  <si>
    <t>C1 Harga Tiket (Rp)</t>
  </si>
  <si>
    <t>C2 Rating Pengunjung</t>
  </si>
  <si>
    <t>C6 Skor Hobi (Jaccard)</t>
  </si>
  <si>
    <t>Jumlah kolom Σ_i a_ij</t>
  </si>
  <si>
    <t>4b. Matriks ternormalisasi a'_ij = a_ij ÷ Σ_i a_ij  →  bobot w_i = rata-rata baris</t>
  </si>
  <si>
    <t>A'</t>
  </si>
  <si>
    <t>Bobot w_i</t>
  </si>
  <si>
    <t>Sumber RI: Saaty (1980)</t>
  </si>
  <si>
    <t>Σ bobot (harus = 1)</t>
  </si>
  <si>
    <t>4c. Uji konsistensi (Consistency Ratio)</t>
  </si>
  <si>
    <t>w (sebagai baris)</t>
  </si>
  <si>
    <t>w_i</t>
  </si>
  <si>
    <t>(A·w)_i = Σ_j a_ij·w_j</t>
  </si>
  <si>
    <t>λ_i = (A·w)_i ÷ w_i</t>
  </si>
  <si>
    <t>λmax = rata-rata λ_i</t>
  </si>
  <si>
    <t>n (jumlah kriteria)</t>
  </si>
  <si>
    <t>CI = (λmax − n) ÷ (n − 1)</t>
  </si>
  <si>
    <t>RI (Random Index, Saaty) untuk n</t>
  </si>
  <si>
    <t>CR = CI ÷ RI</t>
  </si>
  <si>
    <t>Status</t>
  </si>
  <si>
    <t>5. Matriks Keputusan X (alternatif × kriteria)</t>
  </si>
  <si>
    <t>Semua nilai adalah link ke Data_Alternatif, jenis ke Kriteria, bobot ke AHP_Bobot.</t>
  </si>
  <si>
    <t>Destinasi</t>
  </si>
  <si>
    <t>C1
Harga Tiket (Rp)</t>
  </si>
  <si>
    <t>C2
Rating Pengunjung</t>
  </si>
  <si>
    <t>C3
Jarak (km)</t>
  </si>
  <si>
    <t>C4
Skor Fasilitas</t>
  </si>
  <si>
    <t>C5
Skor Kategori</t>
  </si>
  <si>
    <t>C6
Skor Hobi (Jaccard)</t>
  </si>
  <si>
    <t>Bobot w_j (AHP)</t>
  </si>
  <si>
    <t>Catatan: bila ada alternatif yang 'Tidak lolos' filter di Data_Alternatif, hapus barisnya dari matriks ini sebelum TOPSIS (pada contoh, 10 alternatif lolos semua).</t>
  </si>
  <si>
    <t>6. TOPSIS — Perankingan Alternatif</t>
  </si>
  <si>
    <t>Setiap langkah ditampilkan sebagai tabel terpisah; sel abu-abu = link, hitam = formula.</t>
  </si>
  <si>
    <t>Langkah 1 — Matriks keputusan X (link dari Matriks_Keputusan)</t>
  </si>
  <si>
    <t>√Σ_i x_ij²</t>
  </si>
  <si>
    <t>Langkah 2 — Normalisasi vektor r_ij = x_ij ÷ √Σ_i x_ij²</t>
  </si>
  <si>
    <t>Langkah 3 — Matriks ternormalisasi terbobot v_ij = w_j × r_ij</t>
  </si>
  <si>
    <t>Langkah 4 — Solusi ideal positif A+ dan negatif A− (Benefit: max/min ; Cost: min/max)</t>
  </si>
  <si>
    <t>Jenis kriteria</t>
  </si>
  <si>
    <t>A+ (ideal positif)</t>
  </si>
  <si>
    <t>A− (ideal negatif)</t>
  </si>
  <si>
    <t>Langkah 5 — Jarak ke solusi ideal, nilai preferensi, dan peringkat</t>
  </si>
  <si>
    <t>D+ = √Σ(v−A+)²</t>
  </si>
  <si>
    <t>D− = √Σ(v−A−)²</t>
  </si>
  <si>
    <t>Vi = D− ÷ (D+ + D−)</t>
  </si>
  <si>
    <t>ALTERNATIF TERBAIK (peringkat 1)</t>
  </si>
  <si>
    <t>← Vi tertinggi</t>
  </si>
  <si>
    <t>Langkah 6 — Explainability: kedekatan per kriteria c_ij = 1 − |v_ij − A+_j| ÷ |A+_j − A−_j|  (1 = ideal, 0 = anti-ideal)</t>
  </si>
  <si>
    <t>Rata-rata</t>
  </si>
  <si>
    <t>Interpretasi: c ≥ 0,8 = unggul; 0,5–0,8 = cukup; &lt; 0,5 = lemah pada kriteria tersebut. Dipakai untuk menjelaskan alasan rekomendasi di sheet Hasil.</t>
  </si>
  <si>
    <t>7. SAW (Simple Additive Weighting) — Pembanding untuk Validasi</t>
  </si>
  <si>
    <t>Bobot sama dengan TOPSIS. Hasil ini TIDAK dipakai sebagai rekomendasi; hanya untuk uji kesepakatan ranking (Spearman ρ).</t>
  </si>
  <si>
    <t>Bobot w_j</t>
  </si>
  <si>
    <t>Normalisasi SAW: Benefit r_ij = x_ij ÷ max_j ; Cost r_ij = min_j ÷ x_ij</t>
  </si>
  <si>
    <t>Skor SAW, peringkat, dan perbandingan dengan TOPSIS</t>
  </si>
  <si>
    <t>S_i = Σ w_j·r_ij</t>
  </si>
  <si>
    <t>Peringkat SAW</t>
  </si>
  <si>
    <t>Peringkat TOPSIS</t>
  </si>
  <si>
    <t>d = r_TOPSIS − r_SAW</t>
  </si>
  <si>
    <t>d²</t>
  </si>
  <si>
    <t>Σ d²</t>
  </si>
  <si>
    <t>n (jumlah alternatif)</t>
  </si>
  <si>
    <t>Spearman ρ = 1 − 6Σd² ÷ (n(n² − 1))</t>
  </si>
  <si>
    <t>Interpretasi</t>
  </si>
  <si>
    <t>Mengapa bisa berbeda: SAW memakai min÷x untuk kriteria cost sehingga alternatif yang bukan termurah/terdekat dihukum sangat keras, dan nilai buruk di satu kriteria dapat ditutupi kriteria lain (kompensatoris penuh). TOPSIS memakai normalisasi vektor dan jarak Euclidean sehingga trade-off dinilai lebih seimbang. Alternatif dengan d besar adalah kasus yang layak dibahas di laporan evaluasi.</t>
  </si>
  <si>
    <t>8. Hasil Akhir — Ranking Rekomendasi dan Alternatif Terbaik</t>
  </si>
  <si>
    <t>Tabel terurut otomatis dari peringkat TOPSIS (INDEX/MATCH). Tidak ada angka yang diketik manual.</t>
  </si>
  <si>
    <t>Profil pengguna</t>
  </si>
  <si>
    <t>Budget maksimal</t>
  </si>
  <si>
    <t>Wilayah</t>
  </si>
  <si>
    <t>Kategori utama / sekunder</t>
  </si>
  <si>
    <t>CR AHP</t>
  </si>
  <si>
    <t>Harga (Rp)</t>
  </si>
  <si>
    <t>Rating</t>
  </si>
  <si>
    <t>Vi (TOPSIS)</t>
  </si>
  <si>
    <t>ALTERNATIF TERBAIK</t>
  </si>
  <si>
    <t>Nilai preferensi Vi</t>
  </si>
  <si>
    <t>Kalimat rekomendasi</t>
  </si>
  <si>
    <t>Alasan rekomendasi — kedekatan alternatif terbaik ke solusi ideal per kriteria (dari TOPSIS Langkah 6)</t>
  </si>
  <si>
    <t>Nama</t>
  </si>
  <si>
    <t>Nilai x</t>
  </si>
  <si>
    <t>Kedekatan c</t>
  </si>
  <si>
    <t>Penilaian</t>
  </si>
  <si>
    <t>Cara membaca: 'Unggul' berarti nilai terbobot destinasi ini hampir sama dengan solusi ideal pada kriteria tersebut; 'Lemah' berarti kriteria ini yang menahan skornya. Inilah dasar kalimat penjelasan di aplikasi (mis. 'direkomendasikan karena harga sesuai budget dan cocok dengan minat alam, namun jaraknya cukup jauh').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</si>
</sst>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00800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2F5D3A"/>
      </patternFill>
    </fill>
    <fill>
      <patternFill patternType="solid">
        <fgColor rgb="FFE8F0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/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7" fillId="0" borderId="0" xfId="0" applyFont="1"/>
    <xf numFmtId="0" fontId="4" fillId="3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164" fontId="9" fillId="2" borderId="1" xfId="0" applyNumberFormat="1" applyFont="1" applyFill="1" applyBorder="1"/>
    <xf numFmtId="3" fontId="9" fillId="2" borderId="1" xfId="0" applyNumberFormat="1" applyFont="1" applyFill="1" applyBorder="1"/>
    <xf numFmtId="1" fontId="9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10" fillId="0" borderId="0" xfId="0" applyFont="1"/>
    <xf numFmtId="166" fontId="5" fillId="0" borderId="1" xfId="0" applyNumberFormat="1" applyFont="1" applyBorder="1" applyAlignment="1">
      <alignment horizontal="center" vertical="center" wrapText="1"/>
    </xf>
    <xf numFmtId="166" fontId="9" fillId="2" borderId="1" xfId="0" applyNumberFormat="1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3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3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showGridLines="0" zoomScale="90" workbookViewId="0"/>
  </sheetViews>
  <sheetFormatPr defaultRowHeight="15" x14ac:dyDescent="0.25"/>
  <cols>
    <col min="1" max="1" width="34" customWidth="1"/>
    <col min="2" max="2" width="12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8" spans="1:2" x14ac:dyDescent="0.25">
      <c r="A8" s="8" t="s">
        <v>9</v>
      </c>
      <c r="B8" s="5" t="s">
        <v>10</v>
      </c>
    </row>
    <row r="9" spans="1:2" x14ac:dyDescent="0.25">
      <c r="A9" s="6"/>
    </row>
    <row r="10" spans="1:2" x14ac:dyDescent="0.25">
      <c r="A10" s="3" t="s">
        <v>11</v>
      </c>
    </row>
    <row r="11" spans="1:2" x14ac:dyDescent="0.25">
      <c r="A11" s="6" t="s">
        <v>12</v>
      </c>
      <c r="B11" s="5" t="s">
        <v>13</v>
      </c>
    </row>
    <row r="12" spans="1:2" x14ac:dyDescent="0.25">
      <c r="A12" s="6" t="s">
        <v>14</v>
      </c>
      <c r="B12" s="5" t="s">
        <v>15</v>
      </c>
    </row>
    <row r="13" spans="1:2" x14ac:dyDescent="0.25">
      <c r="A13" s="6" t="s">
        <v>16</v>
      </c>
      <c r="B13" s="5" t="s">
        <v>17</v>
      </c>
    </row>
    <row r="14" spans="1:2" x14ac:dyDescent="0.25">
      <c r="A14" s="6" t="s">
        <v>18</v>
      </c>
      <c r="B14" s="5" t="s">
        <v>19</v>
      </c>
    </row>
    <row r="15" spans="1:2" x14ac:dyDescent="0.25">
      <c r="A15" s="6" t="s">
        <v>20</v>
      </c>
      <c r="B15" s="5" t="s">
        <v>21</v>
      </c>
    </row>
    <row r="16" spans="1:2" x14ac:dyDescent="0.25">
      <c r="A16" s="6" t="s">
        <v>22</v>
      </c>
      <c r="B16" s="5" t="s">
        <v>23</v>
      </c>
    </row>
    <row r="17" spans="1:2" x14ac:dyDescent="0.25">
      <c r="A17" s="6" t="s">
        <v>24</v>
      </c>
      <c r="B17" s="5" t="s">
        <v>25</v>
      </c>
    </row>
    <row r="18" spans="1:2" x14ac:dyDescent="0.25">
      <c r="A18" s="6" t="s">
        <v>26</v>
      </c>
      <c r="B18" s="5" t="s">
        <v>27</v>
      </c>
    </row>
    <row r="19" spans="1:2" x14ac:dyDescent="0.25">
      <c r="A19" s="6"/>
    </row>
    <row r="20" spans="1:2" x14ac:dyDescent="0.25">
      <c r="A20" s="3" t="s">
        <v>28</v>
      </c>
    </row>
    <row r="21" spans="1:2" x14ac:dyDescent="0.25">
      <c r="A21" s="6" t="s">
        <v>29</v>
      </c>
      <c r="B21" s="5" t="s">
        <v>30</v>
      </c>
    </row>
    <row r="22" spans="1:2" x14ac:dyDescent="0.25">
      <c r="A22" s="6" t="s">
        <v>31</v>
      </c>
      <c r="B22" s="5" t="s">
        <v>32</v>
      </c>
    </row>
    <row r="23" spans="1:2" x14ac:dyDescent="0.25">
      <c r="A23" s="6" t="s">
        <v>33</v>
      </c>
      <c r="B23" s="5" t="s">
        <v>34</v>
      </c>
    </row>
    <row r="24" spans="1:2" x14ac:dyDescent="0.25">
      <c r="A24" s="6" t="s">
        <v>35</v>
      </c>
      <c r="B24" s="5" t="s">
        <v>36</v>
      </c>
    </row>
    <row r="25" spans="1:2" x14ac:dyDescent="0.25">
      <c r="A25" s="6" t="s">
        <v>37</v>
      </c>
      <c r="B25" s="5" t="s">
        <v>38</v>
      </c>
    </row>
    <row r="26" spans="1:2" x14ac:dyDescent="0.25">
      <c r="A26" s="6" t="s">
        <v>39</v>
      </c>
      <c r="B26" s="5" t="s">
        <v>40</v>
      </c>
    </row>
    <row r="27" spans="1:2" x14ac:dyDescent="0.25">
      <c r="A27" s="6" t="s">
        <v>41</v>
      </c>
      <c r="B27" s="5" t="s">
        <v>42</v>
      </c>
    </row>
    <row r="28" spans="1:2" x14ac:dyDescent="0.25">
      <c r="A28" s="6" t="s">
        <v>43</v>
      </c>
      <c r="B28" s="5" t="s">
        <v>44</v>
      </c>
    </row>
    <row r="29" spans="1:2" x14ac:dyDescent="0.25">
      <c r="A29" s="6" t="s">
        <v>45</v>
      </c>
      <c r="B29" s="5" t="s">
        <v>46</v>
      </c>
    </row>
    <row r="30" spans="1:2" x14ac:dyDescent="0.25">
      <c r="A30" s="6" t="s">
        <v>47</v>
      </c>
      <c r="B30" s="5" t="s">
        <v>48</v>
      </c>
    </row>
    <row r="31" spans="1:2" x14ac:dyDescent="0.25">
      <c r="A31" s="6" t="s">
        <v>49</v>
      </c>
      <c r="B31" s="5" t="s">
        <v>50</v>
      </c>
    </row>
    <row r="32" spans="1:2" x14ac:dyDescent="0.25">
      <c r="A32" s="6" t="s">
        <v>51</v>
      </c>
      <c r="B32" s="5" t="s">
        <v>52</v>
      </c>
    </row>
    <row r="33" spans="1:2" x14ac:dyDescent="0.25">
      <c r="A33" s="6" t="s">
        <v>53</v>
      </c>
      <c r="B33" s="5" t="s">
        <v>54</v>
      </c>
    </row>
    <row r="34" spans="1:2" x14ac:dyDescent="0.25">
      <c r="A34" s="6" t="s">
        <v>55</v>
      </c>
      <c r="B34" s="5" t="s">
        <v>56</v>
      </c>
    </row>
    <row r="35" spans="1:2" x14ac:dyDescent="0.25">
      <c r="A35" s="6"/>
    </row>
    <row r="36" spans="1:2" x14ac:dyDescent="0.25">
      <c r="A36" s="3" t="s">
        <v>57</v>
      </c>
    </row>
    <row r="37" spans="1:2" x14ac:dyDescent="0.25">
      <c r="A37" s="6" t="s">
        <v>58</v>
      </c>
      <c r="B37" s="5" t="s">
        <v>59</v>
      </c>
    </row>
    <row r="38" spans="1:2" x14ac:dyDescent="0.25">
      <c r="A38" s="6" t="s">
        <v>60</v>
      </c>
      <c r="B38" s="5" t="s">
        <v>61</v>
      </c>
    </row>
    <row r="39" spans="1:2" x14ac:dyDescent="0.25">
      <c r="A39" s="6" t="s">
        <v>62</v>
      </c>
      <c r="B39" s="5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zoomScale="90" workbookViewId="0"/>
  </sheetViews>
  <sheetFormatPr defaultRowHeight="15" x14ac:dyDescent="0.25"/>
  <cols>
    <col min="1" max="1" width="30" customWidth="1"/>
    <col min="2" max="2" width="10.7109375" bestFit="1" customWidth="1"/>
    <col min="3" max="3" width="12.42578125" bestFit="1" customWidth="1"/>
    <col min="4" max="7" width="12" customWidth="1"/>
  </cols>
  <sheetData>
    <row r="1" spans="1:7" ht="18" x14ac:dyDescent="0.25">
      <c r="A1" s="1" t="s">
        <v>64</v>
      </c>
    </row>
    <row r="2" spans="1:7" x14ac:dyDescent="0.25">
      <c r="A2" s="2" t="s">
        <v>65</v>
      </c>
    </row>
    <row r="4" spans="1:7" x14ac:dyDescent="0.25">
      <c r="A4" s="9" t="s">
        <v>66</v>
      </c>
      <c r="B4" s="9" t="s">
        <v>67</v>
      </c>
      <c r="C4" s="9" t="s">
        <v>68</v>
      </c>
    </row>
    <row r="5" spans="1:7" ht="36" x14ac:dyDescent="0.25">
      <c r="A5" s="10" t="s">
        <v>69</v>
      </c>
      <c r="B5" s="11" t="s">
        <v>70</v>
      </c>
      <c r="C5" s="12" t="s">
        <v>71</v>
      </c>
    </row>
    <row r="6" spans="1:7" ht="60" x14ac:dyDescent="0.25">
      <c r="A6" s="10" t="s">
        <v>72</v>
      </c>
      <c r="B6" s="13">
        <v>-6.9175000000000004</v>
      </c>
      <c r="C6" s="12" t="s">
        <v>73</v>
      </c>
    </row>
    <row r="7" spans="1:7" ht="24" x14ac:dyDescent="0.25">
      <c r="A7" s="10" t="s">
        <v>74</v>
      </c>
      <c r="B7" s="13">
        <v>107.6191</v>
      </c>
      <c r="C7" s="12" t="s">
        <v>75</v>
      </c>
    </row>
    <row r="8" spans="1:7" ht="36" x14ac:dyDescent="0.25">
      <c r="A8" s="10" t="s">
        <v>76</v>
      </c>
      <c r="B8" s="14">
        <v>250000</v>
      </c>
      <c r="C8" s="12" t="s">
        <v>77</v>
      </c>
    </row>
    <row r="9" spans="1:7" ht="48" x14ac:dyDescent="0.25">
      <c r="A9" s="10" t="s">
        <v>78</v>
      </c>
      <c r="B9" s="11" t="s">
        <v>79</v>
      </c>
      <c r="C9" s="12" t="s">
        <v>80</v>
      </c>
    </row>
    <row r="10" spans="1:7" x14ac:dyDescent="0.25">
      <c r="A10" s="10" t="s">
        <v>81</v>
      </c>
      <c r="B10" s="11" t="s">
        <v>82</v>
      </c>
      <c r="C10" s="12" t="s">
        <v>83</v>
      </c>
    </row>
    <row r="11" spans="1:7" x14ac:dyDescent="0.25">
      <c r="A11" s="10" t="s">
        <v>84</v>
      </c>
      <c r="B11" s="11" t="s">
        <v>85</v>
      </c>
      <c r="C11" s="12" t="s">
        <v>86</v>
      </c>
    </row>
    <row r="12" spans="1:7" ht="60" x14ac:dyDescent="0.25">
      <c r="A12" s="10" t="s">
        <v>87</v>
      </c>
      <c r="B12" s="11" t="s">
        <v>88</v>
      </c>
      <c r="C12" s="12" t="s">
        <v>89</v>
      </c>
    </row>
    <row r="14" spans="1:7" x14ac:dyDescent="0.25">
      <c r="A14" s="3" t="s">
        <v>90</v>
      </c>
    </row>
    <row r="15" spans="1:7" x14ac:dyDescent="0.25">
      <c r="A15" s="9" t="s">
        <v>91</v>
      </c>
      <c r="B15" s="9" t="s">
        <v>92</v>
      </c>
      <c r="C15" s="9" t="s">
        <v>93</v>
      </c>
      <c r="D15" s="9" t="s">
        <v>94</v>
      </c>
      <c r="E15" s="9" t="s">
        <v>95</v>
      </c>
      <c r="F15" s="9" t="s">
        <v>96</v>
      </c>
      <c r="G15" s="9" t="s">
        <v>97</v>
      </c>
    </row>
    <row r="16" spans="1:7" x14ac:dyDescent="0.25">
      <c r="A16" s="10" t="s">
        <v>98</v>
      </c>
      <c r="B16" s="15">
        <v>1</v>
      </c>
      <c r="C16" s="15">
        <v>1</v>
      </c>
      <c r="D16" s="15">
        <v>1</v>
      </c>
      <c r="E16" s="15">
        <v>0</v>
      </c>
      <c r="F16" s="15">
        <v>0</v>
      </c>
      <c r="G16" s="15">
        <v>0</v>
      </c>
    </row>
    <row r="17" spans="1:2" x14ac:dyDescent="0.25">
      <c r="A17" s="16" t="s">
        <v>99</v>
      </c>
      <c r="B17" s="17">
        <f>SUM(B16:G16)</f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2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6" customWidth="1"/>
    <col min="3" max="3" width="12" customWidth="1"/>
    <col min="4" max="4" width="10" customWidth="1"/>
    <col min="5" max="5" width="15" customWidth="1"/>
    <col min="6" max="6" width="11" customWidth="1"/>
    <col min="7" max="8" width="10" customWidth="1"/>
    <col min="9" max="13" width="9" customWidth="1"/>
    <col min="14" max="19" width="10" customWidth="1"/>
    <col min="20" max="24" width="13" customWidth="1"/>
  </cols>
  <sheetData>
    <row r="1" spans="1:24" ht="18" x14ac:dyDescent="0.25">
      <c r="A1" s="1" t="s">
        <v>100</v>
      </c>
    </row>
    <row r="2" spans="1:24" x14ac:dyDescent="0.25">
      <c r="A2" s="2" t="s">
        <v>101</v>
      </c>
    </row>
    <row r="4" spans="1:24" x14ac:dyDescent="0.25">
      <c r="I4" s="53" t="s">
        <v>102</v>
      </c>
      <c r="J4" s="54"/>
      <c r="K4" s="54"/>
      <c r="L4" s="54"/>
      <c r="M4" s="54"/>
      <c r="N4" s="53" t="s">
        <v>103</v>
      </c>
      <c r="O4" s="54"/>
      <c r="P4" s="54"/>
      <c r="Q4" s="54"/>
      <c r="R4" s="54"/>
      <c r="S4" s="54"/>
      <c r="T4" s="53" t="s">
        <v>104</v>
      </c>
      <c r="U4" s="54"/>
      <c r="V4" s="54"/>
      <c r="W4" s="54"/>
      <c r="X4" s="54"/>
    </row>
    <row r="5" spans="1:24" ht="25.5" x14ac:dyDescent="0.25">
      <c r="A5" s="9" t="s">
        <v>105</v>
      </c>
      <c r="B5" s="9" t="s">
        <v>106</v>
      </c>
      <c r="C5" s="9" t="s">
        <v>107</v>
      </c>
      <c r="D5" s="9" t="s">
        <v>108</v>
      </c>
      <c r="E5" s="9" t="s">
        <v>109</v>
      </c>
      <c r="F5" s="9" t="s">
        <v>110</v>
      </c>
      <c r="G5" s="9" t="s">
        <v>111</v>
      </c>
      <c r="H5" s="9" t="s">
        <v>112</v>
      </c>
      <c r="I5" s="9" t="s">
        <v>113</v>
      </c>
      <c r="J5" s="9" t="s">
        <v>114</v>
      </c>
      <c r="K5" s="9" t="s">
        <v>115</v>
      </c>
      <c r="L5" s="9" t="s">
        <v>116</v>
      </c>
      <c r="M5" s="9" t="s">
        <v>117</v>
      </c>
      <c r="N5" s="9" t="s">
        <v>92</v>
      </c>
      <c r="O5" s="9" t="s">
        <v>93</v>
      </c>
      <c r="P5" s="9" t="s">
        <v>94</v>
      </c>
      <c r="Q5" s="9" t="s">
        <v>95</v>
      </c>
      <c r="R5" s="9" t="s">
        <v>96</v>
      </c>
      <c r="S5" s="9" t="s">
        <v>97</v>
      </c>
      <c r="T5" s="9" t="s">
        <v>118</v>
      </c>
      <c r="U5" s="9" t="s">
        <v>119</v>
      </c>
      <c r="V5" s="9" t="s">
        <v>120</v>
      </c>
      <c r="W5" s="9" t="s">
        <v>121</v>
      </c>
      <c r="X5" s="9" t="s">
        <v>122</v>
      </c>
    </row>
    <row r="6" spans="1:24" x14ac:dyDescent="0.25">
      <c r="A6" s="11" t="s">
        <v>123</v>
      </c>
      <c r="B6" s="11" t="s">
        <v>124</v>
      </c>
      <c r="C6" s="11" t="s">
        <v>79</v>
      </c>
      <c r="D6" s="11" t="s">
        <v>82</v>
      </c>
      <c r="E6" s="18">
        <v>81000</v>
      </c>
      <c r="F6" s="19">
        <v>4.5999999999999996</v>
      </c>
      <c r="G6" s="20">
        <v>-7.1661999999999999</v>
      </c>
      <c r="H6" s="20">
        <v>107.40219999999999</v>
      </c>
      <c r="I6" s="15">
        <v>1</v>
      </c>
      <c r="J6" s="15">
        <v>1</v>
      </c>
      <c r="K6" s="15">
        <v>1</v>
      </c>
      <c r="L6" s="15">
        <v>1</v>
      </c>
      <c r="M6" s="15">
        <v>0</v>
      </c>
      <c r="N6" s="15">
        <v>1</v>
      </c>
      <c r="O6" s="15">
        <v>1</v>
      </c>
      <c r="P6" s="15">
        <v>0</v>
      </c>
      <c r="Q6" s="15">
        <v>0</v>
      </c>
      <c r="R6" s="15">
        <v>0</v>
      </c>
      <c r="S6" s="15">
        <v>1</v>
      </c>
      <c r="T6" s="21">
        <f>2*6371*ASIN(SQRT(SIN(RADIANS(G6-Profil_User!$B$6)/2)^2+COS(RADIANS(Profil_User!$B$6))*COS(RADIANS(G6))*SIN(RADIANS(H6-Profil_User!$B$7)/2)^2))</f>
        <v>36.574538057104327</v>
      </c>
      <c r="U6" s="22">
        <f t="shared" ref="U6:U15" si="0">SUM(I6:M6)/COUNTA($I$5:$M$5)</f>
        <v>0.8</v>
      </c>
      <c r="V6" s="23">
        <f>IF(D6=Profil_User!$B$10,1,IF(D6=Profil_User!$B$11,0.5,0))</f>
        <v>1</v>
      </c>
      <c r="W6" s="24">
        <f>IFERROR(SUMPRODUCT(N6:S6,Profil_User!$B$16:$G$16)/(SUM(N6:S6)+SUM(Profil_User!$B$16:$G$16)-SUMPRODUCT(N6:S6,Profil_User!$B$16:$G$16)),0)</f>
        <v>0.5</v>
      </c>
      <c r="X6" s="25" t="str">
        <f>IF(AND(E6&lt;=Profil_User!$B$8,C6=Profil_User!$B$9),"Lolos","Tidak lolos")</f>
        <v>Lolos</v>
      </c>
    </row>
    <row r="7" spans="1:24" x14ac:dyDescent="0.25">
      <c r="A7" s="11" t="s">
        <v>125</v>
      </c>
      <c r="B7" s="11" t="s">
        <v>126</v>
      </c>
      <c r="C7" s="11" t="s">
        <v>79</v>
      </c>
      <c r="D7" s="11" t="s">
        <v>82</v>
      </c>
      <c r="E7" s="18">
        <v>30000</v>
      </c>
      <c r="F7" s="19">
        <v>4.4000000000000004</v>
      </c>
      <c r="G7" s="20">
        <v>-6.7596999999999996</v>
      </c>
      <c r="H7" s="20">
        <v>107.6097</v>
      </c>
      <c r="I7" s="15">
        <v>1</v>
      </c>
      <c r="J7" s="15">
        <v>1</v>
      </c>
      <c r="K7" s="15">
        <v>1</v>
      </c>
      <c r="L7" s="15">
        <v>1</v>
      </c>
      <c r="M7" s="15">
        <v>0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1</v>
      </c>
      <c r="T7" s="21">
        <f>2*6371*ASIN(SQRT(SIN(RADIANS(G7-Profil_User!$B$6)/2)^2+COS(RADIANS(Profil_User!$B$6))*COS(RADIANS(G7))*SIN(RADIANS(H7-Profil_User!$B$7)/2)^2))</f>
        <v>17.577222974840573</v>
      </c>
      <c r="U7" s="22">
        <f t="shared" si="0"/>
        <v>0.8</v>
      </c>
      <c r="V7" s="23">
        <f>IF(D7=Profil_User!$B$10,1,IF(D7=Profil_User!$B$11,0.5,0))</f>
        <v>1</v>
      </c>
      <c r="W7" s="24">
        <f>IFERROR(SUMPRODUCT(N7:S7,Profil_User!$B$16:$G$16)/(SUM(N7:S7)+SUM(Profil_User!$B$16:$G$16)-SUMPRODUCT(N7:S7,Profil_User!$B$16:$G$16)),0)</f>
        <v>0.5</v>
      </c>
      <c r="X7" s="25" t="str">
        <f>IF(AND(E7&lt;=Profil_User!$B$8,C7=Profil_User!$B$9),"Lolos","Tidak lolos")</f>
        <v>Lolos</v>
      </c>
    </row>
    <row r="8" spans="1:24" x14ac:dyDescent="0.25">
      <c r="A8" s="11" t="s">
        <v>127</v>
      </c>
      <c r="B8" s="11" t="s">
        <v>128</v>
      </c>
      <c r="C8" s="11" t="s">
        <v>79</v>
      </c>
      <c r="D8" s="11" t="s">
        <v>85</v>
      </c>
      <c r="E8" s="18">
        <v>75000</v>
      </c>
      <c r="F8" s="19">
        <v>4.7</v>
      </c>
      <c r="G8" s="20">
        <v>-6.8977000000000004</v>
      </c>
      <c r="H8" s="20">
        <v>107.6553</v>
      </c>
      <c r="I8" s="15">
        <v>1</v>
      </c>
      <c r="J8" s="15">
        <v>1</v>
      </c>
      <c r="K8" s="15">
        <v>1</v>
      </c>
      <c r="L8" s="15">
        <v>1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1</v>
      </c>
      <c r="S8" s="15">
        <v>1</v>
      </c>
      <c r="T8" s="21">
        <f>2*6371*ASIN(SQRT(SIN(RADIANS(G8-Profil_User!$B$6)/2)^2+COS(RADIANS(Profil_User!$B$6))*COS(RADIANS(G8))*SIN(RADIANS(H8-Profil_User!$B$7)/2)^2))</f>
        <v>4.5624148383397722</v>
      </c>
      <c r="U8" s="22">
        <f t="shared" si="0"/>
        <v>0.8</v>
      </c>
      <c r="V8" s="23">
        <f>IF(D8=Profil_User!$B$10,1,IF(D8=Profil_User!$B$11,0.5,0))</f>
        <v>0.5</v>
      </c>
      <c r="W8" s="24">
        <f>IFERROR(SUMPRODUCT(N8:S8,Profil_User!$B$16:$G$16)/(SUM(N8:S8)+SUM(Profil_User!$B$16:$G$16)-SUMPRODUCT(N8:S8,Profil_User!$B$16:$G$16)),0)</f>
        <v>0.2</v>
      </c>
      <c r="X8" s="25" t="str">
        <f>IF(AND(E8&lt;=Profil_User!$B$8,C8=Profil_User!$B$9),"Lolos","Tidak lolos")</f>
        <v>Lolos</v>
      </c>
    </row>
    <row r="9" spans="1:24" x14ac:dyDescent="0.25">
      <c r="A9" s="11" t="s">
        <v>129</v>
      </c>
      <c r="B9" s="11" t="s">
        <v>130</v>
      </c>
      <c r="C9" s="11" t="s">
        <v>79</v>
      </c>
      <c r="D9" s="11" t="s">
        <v>131</v>
      </c>
      <c r="E9" s="18">
        <v>30000</v>
      </c>
      <c r="F9" s="19">
        <v>4.3</v>
      </c>
      <c r="G9" s="20">
        <v>-6.8330000000000002</v>
      </c>
      <c r="H9" s="20">
        <v>107.6027</v>
      </c>
      <c r="I9" s="15">
        <v>1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1</v>
      </c>
      <c r="P9" s="15">
        <v>1</v>
      </c>
      <c r="Q9" s="15">
        <v>0</v>
      </c>
      <c r="R9" s="15">
        <v>0</v>
      </c>
      <c r="S9" s="15">
        <v>1</v>
      </c>
      <c r="T9" s="21">
        <f>2*6371*ASIN(SQRT(SIN(RADIANS(G9-Profil_User!$B$6)/2)^2+COS(RADIANS(Profil_User!$B$6))*COS(RADIANS(G9))*SIN(RADIANS(H9-Profil_User!$B$7)/2)^2))</f>
        <v>9.5688101066714051</v>
      </c>
      <c r="U9" s="22">
        <f t="shared" si="0"/>
        <v>0.8</v>
      </c>
      <c r="V9" s="23">
        <f>IF(D9=Profil_User!$B$10,1,IF(D9=Profil_User!$B$11,0.5,0))</f>
        <v>0</v>
      </c>
      <c r="W9" s="24">
        <f>IFERROR(SUMPRODUCT(N9:S9,Profil_User!$B$16:$G$16)/(SUM(N9:S9)+SUM(Profil_User!$B$16:$G$16)-SUMPRODUCT(N9:S9,Profil_User!$B$16:$G$16)),0)</f>
        <v>0.5</v>
      </c>
      <c r="X9" s="25" t="str">
        <f>IF(AND(E9&lt;=Profil_User!$B$8,C9=Profil_User!$B$9),"Lolos","Tidak lolos")</f>
        <v>Lolos</v>
      </c>
    </row>
    <row r="10" spans="1:24" x14ac:dyDescent="0.25">
      <c r="A10" s="11" t="s">
        <v>132</v>
      </c>
      <c r="B10" s="11" t="s">
        <v>133</v>
      </c>
      <c r="C10" s="11" t="s">
        <v>79</v>
      </c>
      <c r="D10" s="11" t="s">
        <v>131</v>
      </c>
      <c r="E10" s="18">
        <v>200000</v>
      </c>
      <c r="F10" s="19">
        <v>4.5</v>
      </c>
      <c r="G10" s="20">
        <v>-6.9257999999999997</v>
      </c>
      <c r="H10" s="20">
        <v>107.6366</v>
      </c>
      <c r="I10" s="15">
        <v>1</v>
      </c>
      <c r="J10" s="15">
        <v>1</v>
      </c>
      <c r="K10" s="15">
        <v>1</v>
      </c>
      <c r="L10" s="15">
        <v>1</v>
      </c>
      <c r="M10" s="15">
        <v>1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1</v>
      </c>
      <c r="T10" s="21">
        <f>2*6371*ASIN(SQRT(SIN(RADIANS(G10-Profil_User!$B$6)/2)^2+COS(RADIANS(Profil_User!$B$6))*COS(RADIANS(G10))*SIN(RADIANS(H10-Profil_User!$B$7)/2)^2))</f>
        <v>2.1408771627850856</v>
      </c>
      <c r="U10" s="22">
        <f t="shared" si="0"/>
        <v>1</v>
      </c>
      <c r="V10" s="23">
        <f>IF(D10=Profil_User!$B$10,1,IF(D10=Profil_User!$B$11,0.5,0))</f>
        <v>0</v>
      </c>
      <c r="W10" s="24">
        <f>IFERROR(SUMPRODUCT(N10:S10,Profil_User!$B$16:$G$16)/(SUM(N10:S10)+SUM(Profil_User!$B$16:$G$16)-SUMPRODUCT(N10:S10,Profil_User!$B$16:$G$16)),0)</f>
        <v>0.25</v>
      </c>
      <c r="X10" s="25" t="str">
        <f>IF(AND(E10&lt;=Profil_User!$B$8,C10=Profil_User!$B$9),"Lolos","Tidak lolos")</f>
        <v>Lolos</v>
      </c>
    </row>
    <row r="11" spans="1:24" x14ac:dyDescent="0.25">
      <c r="A11" s="11" t="s">
        <v>134</v>
      </c>
      <c r="B11" s="11" t="s">
        <v>135</v>
      </c>
      <c r="C11" s="11" t="s">
        <v>79</v>
      </c>
      <c r="D11" s="11" t="s">
        <v>82</v>
      </c>
      <c r="E11" s="18">
        <v>15000</v>
      </c>
      <c r="F11" s="19">
        <v>4.2</v>
      </c>
      <c r="G11" s="20">
        <v>-7.6950000000000003</v>
      </c>
      <c r="H11" s="20">
        <v>108.655</v>
      </c>
      <c r="I11" s="15">
        <v>1</v>
      </c>
      <c r="J11" s="15">
        <v>1</v>
      </c>
      <c r="K11" s="15">
        <v>1</v>
      </c>
      <c r="L11" s="15">
        <v>1</v>
      </c>
      <c r="M11" s="15">
        <v>1</v>
      </c>
      <c r="N11" s="15">
        <v>0</v>
      </c>
      <c r="O11" s="15">
        <v>1</v>
      </c>
      <c r="P11" s="15">
        <v>1</v>
      </c>
      <c r="Q11" s="15">
        <v>1</v>
      </c>
      <c r="R11" s="15">
        <v>0</v>
      </c>
      <c r="S11" s="15">
        <v>1</v>
      </c>
      <c r="T11" s="21">
        <f>2*6371*ASIN(SQRT(SIN(RADIANS(G11-Profil_User!$B$6)/2)^2+COS(RADIANS(Profil_User!$B$6))*COS(RADIANS(G11))*SIN(RADIANS(H11-Profil_User!$B$7)/2)^2))</f>
        <v>143.27424714552384</v>
      </c>
      <c r="U11" s="22">
        <f t="shared" si="0"/>
        <v>1</v>
      </c>
      <c r="V11" s="23">
        <f>IF(D11=Profil_User!$B$10,1,IF(D11=Profil_User!$B$11,0.5,0))</f>
        <v>1</v>
      </c>
      <c r="W11" s="24">
        <f>IFERROR(SUMPRODUCT(N11:S11,Profil_User!$B$16:$G$16)/(SUM(N11:S11)+SUM(Profil_User!$B$16:$G$16)-SUMPRODUCT(N11:S11,Profil_User!$B$16:$G$16)),0)</f>
        <v>0.4</v>
      </c>
      <c r="X11" s="25" t="str">
        <f>IF(AND(E11&lt;=Profil_User!$B$8,C11=Profil_User!$B$9),"Lolos","Tidak lolos")</f>
        <v>Lolos</v>
      </c>
    </row>
    <row r="12" spans="1:24" x14ac:dyDescent="0.25">
      <c r="A12" s="11" t="s">
        <v>136</v>
      </c>
      <c r="B12" s="11" t="s">
        <v>137</v>
      </c>
      <c r="C12" s="11" t="s">
        <v>79</v>
      </c>
      <c r="D12" s="11" t="s">
        <v>85</v>
      </c>
      <c r="E12" s="18">
        <v>5000</v>
      </c>
      <c r="F12" s="19">
        <v>4.5</v>
      </c>
      <c r="G12" s="20">
        <v>-6.9006999999999996</v>
      </c>
      <c r="H12" s="20">
        <v>107.6215</v>
      </c>
      <c r="I12" s="15">
        <v>1</v>
      </c>
      <c r="J12" s="15">
        <v>1</v>
      </c>
      <c r="K12" s="15">
        <v>0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1</v>
      </c>
      <c r="S12" s="15">
        <v>1</v>
      </c>
      <c r="T12" s="21">
        <f>2*6371*ASIN(SQRT(SIN(RADIANS(G12-Profil_User!$B$6)/2)^2+COS(RADIANS(Profil_User!$B$6))*COS(RADIANS(G12))*SIN(RADIANS(H12-Profil_User!$B$7)/2)^2))</f>
        <v>1.8867673907538742</v>
      </c>
      <c r="U12" s="22">
        <f t="shared" si="0"/>
        <v>0.6</v>
      </c>
      <c r="V12" s="23">
        <f>IF(D12=Profil_User!$B$10,1,IF(D12=Profil_User!$B$11,0.5,0))</f>
        <v>0.5</v>
      </c>
      <c r="W12" s="24">
        <f>IFERROR(SUMPRODUCT(N12:S12,Profil_User!$B$16:$G$16)/(SUM(N12:S12)+SUM(Profil_User!$B$16:$G$16)-SUMPRODUCT(N12:S12,Profil_User!$B$16:$G$16)),0)</f>
        <v>0</v>
      </c>
      <c r="X12" s="25" t="str">
        <f>IF(AND(E12&lt;=Profil_User!$B$8,C12=Profil_User!$B$9),"Lolos","Tidak lolos")</f>
        <v>Lolos</v>
      </c>
    </row>
    <row r="13" spans="1:24" x14ac:dyDescent="0.25">
      <c r="A13" s="11" t="s">
        <v>138</v>
      </c>
      <c r="B13" s="11" t="s">
        <v>139</v>
      </c>
      <c r="C13" s="11" t="s">
        <v>79</v>
      </c>
      <c r="D13" s="11" t="s">
        <v>94</v>
      </c>
      <c r="E13" s="18">
        <v>25000</v>
      </c>
      <c r="F13" s="19">
        <v>4.4000000000000004</v>
      </c>
      <c r="G13" s="20">
        <v>-6.7960000000000003</v>
      </c>
      <c r="H13" s="20">
        <v>107.575</v>
      </c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0</v>
      </c>
      <c r="O13" s="15">
        <v>1</v>
      </c>
      <c r="P13" s="15">
        <v>1</v>
      </c>
      <c r="Q13" s="15">
        <v>0</v>
      </c>
      <c r="R13" s="15">
        <v>0</v>
      </c>
      <c r="S13" s="15">
        <v>1</v>
      </c>
      <c r="T13" s="21">
        <f>2*6371*ASIN(SQRT(SIN(RADIANS(G13-Profil_User!$B$6)/2)^2+COS(RADIANS(Profil_User!$B$6))*COS(RADIANS(G13))*SIN(RADIANS(H13-Profil_User!$B$7)/2)^2))</f>
        <v>14.360659761202578</v>
      </c>
      <c r="U13" s="22">
        <f t="shared" si="0"/>
        <v>1</v>
      </c>
      <c r="V13" s="23">
        <f>IF(D13=Profil_User!$B$10,1,IF(D13=Profil_User!$B$11,0.5,0))</f>
        <v>0</v>
      </c>
      <c r="W13" s="24">
        <f>IFERROR(SUMPRODUCT(N13:S13,Profil_User!$B$16:$G$16)/(SUM(N13:S13)+SUM(Profil_User!$B$16:$G$16)-SUMPRODUCT(N13:S13,Profil_User!$B$16:$G$16)),0)</f>
        <v>0.5</v>
      </c>
      <c r="X13" s="25" t="str">
        <f>IF(AND(E13&lt;=Profil_User!$B$8,C13=Profil_User!$B$9),"Lolos","Tidak lolos")</f>
        <v>Lolos</v>
      </c>
    </row>
    <row r="14" spans="1:24" x14ac:dyDescent="0.25">
      <c r="A14" s="11" t="s">
        <v>140</v>
      </c>
      <c r="B14" s="11" t="s">
        <v>141</v>
      </c>
      <c r="C14" s="11" t="s">
        <v>79</v>
      </c>
      <c r="D14" s="11" t="s">
        <v>82</v>
      </c>
      <c r="E14" s="18">
        <v>20000</v>
      </c>
      <c r="F14" s="19">
        <v>4.3</v>
      </c>
      <c r="G14" s="20">
        <v>-7.165</v>
      </c>
      <c r="H14" s="20">
        <v>107.36</v>
      </c>
      <c r="I14" s="15">
        <v>1</v>
      </c>
      <c r="J14" s="15">
        <v>1</v>
      </c>
      <c r="K14" s="15">
        <v>1</v>
      </c>
      <c r="L14" s="15">
        <v>0</v>
      </c>
      <c r="M14" s="15">
        <v>0</v>
      </c>
      <c r="N14" s="15">
        <v>1</v>
      </c>
      <c r="O14" s="15">
        <v>1</v>
      </c>
      <c r="P14" s="15">
        <v>0</v>
      </c>
      <c r="Q14" s="15">
        <v>1</v>
      </c>
      <c r="R14" s="15">
        <v>0</v>
      </c>
      <c r="S14" s="15">
        <v>1</v>
      </c>
      <c r="T14" s="21">
        <f>2*6371*ASIN(SQRT(SIN(RADIANS(G14-Profil_User!$B$6)/2)^2+COS(RADIANS(Profil_User!$B$6))*COS(RADIANS(G14))*SIN(RADIANS(H14-Profil_User!$B$7)/2)^2))</f>
        <v>39.685866355955625</v>
      </c>
      <c r="U14" s="22">
        <f t="shared" si="0"/>
        <v>0.6</v>
      </c>
      <c r="V14" s="23">
        <f>IF(D14=Profil_User!$B$10,1,IF(D14=Profil_User!$B$11,0.5,0))</f>
        <v>1</v>
      </c>
      <c r="W14" s="24">
        <f>IFERROR(SUMPRODUCT(N14:S14,Profil_User!$B$16:$G$16)/(SUM(N14:S14)+SUM(Profil_User!$B$16:$G$16)-SUMPRODUCT(N14:S14,Profil_User!$B$16:$G$16)),0)</f>
        <v>0.4</v>
      </c>
      <c r="X14" s="25" t="str">
        <f>IF(AND(E14&lt;=Profil_User!$B$8,C14=Profil_User!$B$9),"Lolos","Tidak lolos")</f>
        <v>Lolos</v>
      </c>
    </row>
    <row r="15" spans="1:24" x14ac:dyDescent="0.25">
      <c r="A15" s="11" t="s">
        <v>142</v>
      </c>
      <c r="B15" s="11" t="s">
        <v>143</v>
      </c>
      <c r="C15" s="11" t="s">
        <v>79</v>
      </c>
      <c r="D15" s="11" t="s">
        <v>144</v>
      </c>
      <c r="E15" s="18">
        <v>5000</v>
      </c>
      <c r="F15" s="19">
        <v>4.0999999999999996</v>
      </c>
      <c r="G15" s="20">
        <v>-6.9450000000000003</v>
      </c>
      <c r="H15" s="20">
        <v>107.69</v>
      </c>
      <c r="I15" s="15">
        <v>1</v>
      </c>
      <c r="J15" s="15">
        <v>1</v>
      </c>
      <c r="K15" s="15">
        <v>1</v>
      </c>
      <c r="L15" s="15">
        <v>1</v>
      </c>
      <c r="M15" s="15">
        <v>0</v>
      </c>
      <c r="N15" s="15">
        <v>0</v>
      </c>
      <c r="O15" s="15">
        <v>1</v>
      </c>
      <c r="P15" s="15">
        <v>0</v>
      </c>
      <c r="Q15" s="15">
        <v>0</v>
      </c>
      <c r="R15" s="15">
        <v>1</v>
      </c>
      <c r="S15" s="15">
        <v>1</v>
      </c>
      <c r="T15" s="21">
        <f>2*6371*ASIN(SQRT(SIN(RADIANS(G15-Profil_User!$B$6)/2)^2+COS(RADIANS(Profil_User!$B$6))*COS(RADIANS(G15))*SIN(RADIANS(H15-Profil_User!$B$7)/2)^2))</f>
        <v>8.4022856937786621</v>
      </c>
      <c r="U15" s="22">
        <f t="shared" si="0"/>
        <v>0.8</v>
      </c>
      <c r="V15" s="23">
        <f>IF(D15=Profil_User!$B$10,1,IF(D15=Profil_User!$B$11,0.5,0))</f>
        <v>0</v>
      </c>
      <c r="W15" s="24">
        <f>IFERROR(SUMPRODUCT(N15:S15,Profil_User!$B$16:$G$16)/(SUM(N15:S15)+SUM(Profil_User!$B$16:$G$16)-SUMPRODUCT(N15:S15,Profil_User!$B$16:$G$16)),0)</f>
        <v>0.2</v>
      </c>
      <c r="X15" s="25" t="str">
        <f>IF(AND(E15&lt;=Profil_User!$B$8,C15=Profil_User!$B$9),"Lolos","Tidak lolos")</f>
        <v>Lolos</v>
      </c>
    </row>
    <row r="17" spans="1:1" x14ac:dyDescent="0.25">
      <c r="A17" s="3" t="s">
        <v>145</v>
      </c>
    </row>
    <row r="18" spans="1:1" x14ac:dyDescent="0.25">
      <c r="A18" s="2" t="s">
        <v>146</v>
      </c>
    </row>
    <row r="19" spans="1:1" x14ac:dyDescent="0.25">
      <c r="A19" s="2" t="s">
        <v>147</v>
      </c>
    </row>
    <row r="20" spans="1:1" x14ac:dyDescent="0.25">
      <c r="A20" s="2" t="s">
        <v>148</v>
      </c>
    </row>
    <row r="21" spans="1:1" x14ac:dyDescent="0.25">
      <c r="A21" s="2" t="s">
        <v>149</v>
      </c>
    </row>
    <row r="22" spans="1:1" x14ac:dyDescent="0.25">
      <c r="A22" s="2" t="s">
        <v>150</v>
      </c>
    </row>
  </sheetData>
  <mergeCells count="3">
    <mergeCell ref="I4:M4"/>
    <mergeCell ref="N4:S4"/>
    <mergeCell ref="T4:X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tabSelected="1" zoomScale="90" workbookViewId="0"/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30" customWidth="1"/>
    <col min="5" max="5" width="70" customWidth="1"/>
  </cols>
  <sheetData>
    <row r="1" spans="1:5" ht="18" x14ac:dyDescent="0.25">
      <c r="A1" s="1" t="s">
        <v>151</v>
      </c>
    </row>
    <row r="4" spans="1:5" x14ac:dyDescent="0.25">
      <c r="A4" s="9" t="s">
        <v>152</v>
      </c>
      <c r="B4" s="9" t="s">
        <v>153</v>
      </c>
      <c r="C4" s="9" t="s">
        <v>154</v>
      </c>
      <c r="D4" s="9" t="s">
        <v>155</v>
      </c>
      <c r="E4" s="9" t="s">
        <v>156</v>
      </c>
    </row>
    <row r="5" spans="1:5" x14ac:dyDescent="0.25">
      <c r="A5" s="26" t="s">
        <v>157</v>
      </c>
      <c r="B5" s="16" t="s">
        <v>109</v>
      </c>
      <c r="C5" s="27" t="s">
        <v>158</v>
      </c>
      <c r="D5" s="28" t="s">
        <v>159</v>
      </c>
      <c r="E5" s="29" t="s">
        <v>160</v>
      </c>
    </row>
    <row r="6" spans="1:5" x14ac:dyDescent="0.25">
      <c r="A6" s="26" t="s">
        <v>161</v>
      </c>
      <c r="B6" s="16" t="s">
        <v>162</v>
      </c>
      <c r="C6" s="27" t="s">
        <v>163</v>
      </c>
      <c r="D6" s="28" t="s">
        <v>164</v>
      </c>
      <c r="E6" s="29" t="s">
        <v>165</v>
      </c>
    </row>
    <row r="7" spans="1:5" x14ac:dyDescent="0.25">
      <c r="A7" s="26" t="s">
        <v>166</v>
      </c>
      <c r="B7" s="16" t="s">
        <v>167</v>
      </c>
      <c r="C7" s="27" t="s">
        <v>158</v>
      </c>
      <c r="D7" s="28" t="s">
        <v>168</v>
      </c>
      <c r="E7" s="29" t="s">
        <v>169</v>
      </c>
    </row>
    <row r="8" spans="1:5" x14ac:dyDescent="0.25">
      <c r="A8" s="26" t="s">
        <v>170</v>
      </c>
      <c r="B8" s="16" t="s">
        <v>171</v>
      </c>
      <c r="C8" s="27" t="s">
        <v>163</v>
      </c>
      <c r="D8" s="28" t="s">
        <v>172</v>
      </c>
      <c r="E8" s="29" t="s">
        <v>173</v>
      </c>
    </row>
    <row r="9" spans="1:5" x14ac:dyDescent="0.25">
      <c r="A9" s="26" t="s">
        <v>174</v>
      </c>
      <c r="B9" s="16" t="s">
        <v>175</v>
      </c>
      <c r="C9" s="27" t="s">
        <v>163</v>
      </c>
      <c r="D9" s="28" t="s">
        <v>176</v>
      </c>
      <c r="E9" s="29" t="s">
        <v>177</v>
      </c>
    </row>
    <row r="10" spans="1:5" x14ac:dyDescent="0.25">
      <c r="A10" s="26" t="s">
        <v>178</v>
      </c>
      <c r="B10" s="16" t="s">
        <v>179</v>
      </c>
      <c r="C10" s="27" t="s">
        <v>163</v>
      </c>
      <c r="D10" s="28" t="s">
        <v>180</v>
      </c>
      <c r="E10" s="29" t="s">
        <v>181</v>
      </c>
    </row>
    <row r="12" spans="1:5" x14ac:dyDescent="0.25">
      <c r="A12" s="2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showGridLines="0" zoomScale="90" workbookViewId="0"/>
  </sheetViews>
  <sheetFormatPr defaultRowHeight="15" x14ac:dyDescent="0.25"/>
  <cols>
    <col min="1" max="1" width="30" customWidth="1"/>
    <col min="2" max="4" width="22" customWidth="1"/>
    <col min="5" max="7" width="11" customWidth="1"/>
    <col min="8" max="8" width="12" customWidth="1"/>
    <col min="10" max="10" width="6" customWidth="1"/>
    <col min="11" max="11" width="8" customWidth="1"/>
  </cols>
  <sheetData>
    <row r="1" spans="1:11" ht="18" x14ac:dyDescent="0.25">
      <c r="A1" s="1" t="s">
        <v>183</v>
      </c>
    </row>
    <row r="2" spans="1:11" x14ac:dyDescent="0.25">
      <c r="A2" s="2" t="s">
        <v>184</v>
      </c>
    </row>
    <row r="3" spans="1:11" x14ac:dyDescent="0.25">
      <c r="A3" s="6" t="s">
        <v>185</v>
      </c>
      <c r="B3" s="30" t="str">
        <f>Profil_User!$B$12</f>
        <v>Seimbang</v>
      </c>
    </row>
    <row r="4" spans="1:11" x14ac:dyDescent="0.25">
      <c r="A4" s="2" t="s">
        <v>186</v>
      </c>
    </row>
    <row r="5" spans="1:11" x14ac:dyDescent="0.25">
      <c r="A5" s="3" t="s">
        <v>187</v>
      </c>
    </row>
    <row r="6" spans="1:11" x14ac:dyDescent="0.25">
      <c r="A6" s="9" t="s">
        <v>188</v>
      </c>
      <c r="B6" s="9" t="s">
        <v>157</v>
      </c>
      <c r="C6" s="9" t="s">
        <v>161</v>
      </c>
      <c r="D6" s="9" t="s">
        <v>166</v>
      </c>
      <c r="E6" s="9" t="s">
        <v>170</v>
      </c>
      <c r="F6" s="9" t="s">
        <v>174</v>
      </c>
      <c r="G6" s="9" t="s">
        <v>178</v>
      </c>
      <c r="J6" s="9" t="s">
        <v>189</v>
      </c>
      <c r="K6" s="9" t="s">
        <v>190</v>
      </c>
    </row>
    <row r="7" spans="1:11" x14ac:dyDescent="0.25">
      <c r="A7" s="10" t="s">
        <v>191</v>
      </c>
      <c r="B7" s="31">
        <v>1</v>
      </c>
      <c r="C7" s="32">
        <v>1</v>
      </c>
      <c r="D7" s="32">
        <v>2</v>
      </c>
      <c r="E7" s="32">
        <v>3</v>
      </c>
      <c r="F7" s="32">
        <v>2</v>
      </c>
      <c r="G7" s="32">
        <v>2</v>
      </c>
      <c r="J7" s="17">
        <v>1</v>
      </c>
      <c r="K7" s="33">
        <v>0</v>
      </c>
    </row>
    <row r="8" spans="1:11" x14ac:dyDescent="0.25">
      <c r="A8" s="10" t="s">
        <v>192</v>
      </c>
      <c r="B8" s="31">
        <f>1/C7</f>
        <v>1</v>
      </c>
      <c r="C8" s="31">
        <v>1</v>
      </c>
      <c r="D8" s="32">
        <v>1</v>
      </c>
      <c r="E8" s="32">
        <v>2</v>
      </c>
      <c r="F8" s="32">
        <v>1</v>
      </c>
      <c r="G8" s="32">
        <v>1</v>
      </c>
      <c r="J8" s="17">
        <v>2</v>
      </c>
      <c r="K8" s="33">
        <v>0</v>
      </c>
    </row>
    <row r="9" spans="1:11" x14ac:dyDescent="0.25">
      <c r="A9" s="10" t="s">
        <v>118</v>
      </c>
      <c r="B9" s="31">
        <f>1/D7</f>
        <v>0.5</v>
      </c>
      <c r="C9" s="31">
        <f>1/D8</f>
        <v>1</v>
      </c>
      <c r="D9" s="31">
        <v>1</v>
      </c>
      <c r="E9" s="32">
        <v>2</v>
      </c>
      <c r="F9" s="32">
        <v>1</v>
      </c>
      <c r="G9" s="32">
        <v>1</v>
      </c>
      <c r="J9" s="17">
        <v>3</v>
      </c>
      <c r="K9" s="33">
        <v>0.57999999999999996</v>
      </c>
    </row>
    <row r="10" spans="1:11" x14ac:dyDescent="0.25">
      <c r="A10" s="10" t="s">
        <v>119</v>
      </c>
      <c r="B10" s="31">
        <f>1/E7</f>
        <v>0.33333333333333331</v>
      </c>
      <c r="C10" s="31">
        <f>1/E8</f>
        <v>0.5</v>
      </c>
      <c r="D10" s="31">
        <f>1/E9</f>
        <v>0.5</v>
      </c>
      <c r="E10" s="31">
        <v>1</v>
      </c>
      <c r="F10" s="32">
        <v>0.5</v>
      </c>
      <c r="G10" s="32">
        <v>0.5</v>
      </c>
      <c r="J10" s="17">
        <v>4</v>
      </c>
      <c r="K10" s="33">
        <v>0.9</v>
      </c>
    </row>
    <row r="11" spans="1:11" x14ac:dyDescent="0.25">
      <c r="A11" s="10" t="s">
        <v>120</v>
      </c>
      <c r="B11" s="31">
        <f>1/F7</f>
        <v>0.5</v>
      </c>
      <c r="C11" s="31">
        <f>1/F8</f>
        <v>1</v>
      </c>
      <c r="D11" s="31">
        <f>1/F9</f>
        <v>1</v>
      </c>
      <c r="E11" s="31">
        <f>1/F10</f>
        <v>2</v>
      </c>
      <c r="F11" s="31">
        <v>1</v>
      </c>
      <c r="G11" s="32">
        <v>1</v>
      </c>
      <c r="J11" s="17">
        <v>5</v>
      </c>
      <c r="K11" s="33">
        <v>1.1200000000000001</v>
      </c>
    </row>
    <row r="12" spans="1:11" x14ac:dyDescent="0.25">
      <c r="A12" s="10" t="s">
        <v>193</v>
      </c>
      <c r="B12" s="31">
        <f>1/G7</f>
        <v>0.5</v>
      </c>
      <c r="C12" s="31">
        <f>1/G8</f>
        <v>1</v>
      </c>
      <c r="D12" s="31">
        <f>1/G9</f>
        <v>1</v>
      </c>
      <c r="E12" s="31">
        <f>1/G10</f>
        <v>2</v>
      </c>
      <c r="F12" s="31">
        <f>1/G11</f>
        <v>1</v>
      </c>
      <c r="G12" s="31">
        <v>1</v>
      </c>
      <c r="J12" s="17">
        <v>6</v>
      </c>
      <c r="K12" s="33">
        <v>1.24</v>
      </c>
    </row>
    <row r="13" spans="1:11" x14ac:dyDescent="0.25">
      <c r="A13" s="10" t="s">
        <v>194</v>
      </c>
      <c r="B13" s="31">
        <f t="shared" ref="B13:G13" si="0">SUM(B7:B12)</f>
        <v>3.8333333333333335</v>
      </c>
      <c r="C13" s="31">
        <f t="shared" si="0"/>
        <v>5.5</v>
      </c>
      <c r="D13" s="31">
        <f t="shared" si="0"/>
        <v>6.5</v>
      </c>
      <c r="E13" s="31">
        <f t="shared" si="0"/>
        <v>12</v>
      </c>
      <c r="F13" s="31">
        <f t="shared" si="0"/>
        <v>6.5</v>
      </c>
      <c r="G13" s="31">
        <f t="shared" si="0"/>
        <v>6.5</v>
      </c>
      <c r="J13" s="17">
        <v>7</v>
      </c>
      <c r="K13" s="33">
        <v>1.32</v>
      </c>
    </row>
    <row r="14" spans="1:11" x14ac:dyDescent="0.25">
      <c r="J14" s="17">
        <v>8</v>
      </c>
      <c r="K14" s="33">
        <v>1.41</v>
      </c>
    </row>
    <row r="15" spans="1:11" x14ac:dyDescent="0.25">
      <c r="A15" s="3" t="s">
        <v>195</v>
      </c>
      <c r="J15" s="17">
        <v>9</v>
      </c>
      <c r="K15" s="33">
        <v>1.45</v>
      </c>
    </row>
    <row r="16" spans="1:11" x14ac:dyDescent="0.25">
      <c r="A16" s="9" t="s">
        <v>196</v>
      </c>
      <c r="B16" s="9" t="s">
        <v>157</v>
      </c>
      <c r="C16" s="9" t="s">
        <v>161</v>
      </c>
      <c r="D16" s="9" t="s">
        <v>166</v>
      </c>
      <c r="E16" s="9" t="s">
        <v>170</v>
      </c>
      <c r="F16" s="9" t="s">
        <v>174</v>
      </c>
      <c r="G16" s="9" t="s">
        <v>178</v>
      </c>
      <c r="H16" s="9" t="s">
        <v>197</v>
      </c>
      <c r="J16" s="17">
        <v>10</v>
      </c>
      <c r="K16" s="33">
        <v>1.49</v>
      </c>
    </row>
    <row r="17" spans="1:10" x14ac:dyDescent="0.25">
      <c r="A17" s="10" t="s">
        <v>191</v>
      </c>
      <c r="B17" s="34">
        <f t="shared" ref="B17:G22" si="1">B7/B$13</f>
        <v>0.2608695652173913</v>
      </c>
      <c r="C17" s="34">
        <f t="shared" si="1"/>
        <v>0.18181818181818182</v>
      </c>
      <c r="D17" s="34">
        <f t="shared" si="1"/>
        <v>0.30769230769230771</v>
      </c>
      <c r="E17" s="34">
        <f t="shared" si="1"/>
        <v>0.25</v>
      </c>
      <c r="F17" s="34">
        <f t="shared" si="1"/>
        <v>0.30769230769230771</v>
      </c>
      <c r="G17" s="34">
        <f t="shared" si="1"/>
        <v>0.30769230769230771</v>
      </c>
      <c r="H17" s="35">
        <f t="shared" ref="H17:H22" si="2">AVERAGE(B17:G17)</f>
        <v>0.269294111685416</v>
      </c>
      <c r="J17" s="2" t="s">
        <v>198</v>
      </c>
    </row>
    <row r="18" spans="1:10" x14ac:dyDescent="0.25">
      <c r="A18" s="10" t="s">
        <v>192</v>
      </c>
      <c r="B18" s="34">
        <f t="shared" si="1"/>
        <v>0.2608695652173913</v>
      </c>
      <c r="C18" s="34">
        <f t="shared" si="1"/>
        <v>0.18181818181818182</v>
      </c>
      <c r="D18" s="34">
        <f t="shared" si="1"/>
        <v>0.15384615384615385</v>
      </c>
      <c r="E18" s="34">
        <f t="shared" si="1"/>
        <v>0.16666666666666666</v>
      </c>
      <c r="F18" s="34">
        <f t="shared" si="1"/>
        <v>0.15384615384615385</v>
      </c>
      <c r="G18" s="34">
        <f t="shared" si="1"/>
        <v>0.15384615384615385</v>
      </c>
      <c r="H18" s="35">
        <f t="shared" si="2"/>
        <v>0.17848214587345024</v>
      </c>
    </row>
    <row r="19" spans="1:10" x14ac:dyDescent="0.25">
      <c r="A19" s="10" t="s">
        <v>118</v>
      </c>
      <c r="B19" s="34">
        <f t="shared" si="1"/>
        <v>0.13043478260869565</v>
      </c>
      <c r="C19" s="34">
        <f t="shared" si="1"/>
        <v>0.18181818181818182</v>
      </c>
      <c r="D19" s="34">
        <f t="shared" si="1"/>
        <v>0.15384615384615385</v>
      </c>
      <c r="E19" s="34">
        <f t="shared" si="1"/>
        <v>0.16666666666666666</v>
      </c>
      <c r="F19" s="34">
        <f t="shared" si="1"/>
        <v>0.15384615384615385</v>
      </c>
      <c r="G19" s="34">
        <f t="shared" si="1"/>
        <v>0.15384615384615385</v>
      </c>
      <c r="H19" s="35">
        <f t="shared" si="2"/>
        <v>0.15674301543866762</v>
      </c>
    </row>
    <row r="20" spans="1:10" x14ac:dyDescent="0.25">
      <c r="A20" s="10" t="s">
        <v>119</v>
      </c>
      <c r="B20" s="34">
        <f t="shared" si="1"/>
        <v>8.6956521739130432E-2</v>
      </c>
      <c r="C20" s="34">
        <f t="shared" si="1"/>
        <v>9.0909090909090912E-2</v>
      </c>
      <c r="D20" s="34">
        <f t="shared" si="1"/>
        <v>7.6923076923076927E-2</v>
      </c>
      <c r="E20" s="34">
        <f t="shared" si="1"/>
        <v>8.3333333333333329E-2</v>
      </c>
      <c r="F20" s="34">
        <f t="shared" si="1"/>
        <v>7.6923076923076927E-2</v>
      </c>
      <c r="G20" s="34">
        <f t="shared" si="1"/>
        <v>7.6923076923076927E-2</v>
      </c>
      <c r="H20" s="35">
        <f t="shared" si="2"/>
        <v>8.1994696125130911E-2</v>
      </c>
    </row>
    <row r="21" spans="1:10" x14ac:dyDescent="0.25">
      <c r="A21" s="10" t="s">
        <v>120</v>
      </c>
      <c r="B21" s="34">
        <f t="shared" si="1"/>
        <v>0.13043478260869565</v>
      </c>
      <c r="C21" s="34">
        <f t="shared" si="1"/>
        <v>0.18181818181818182</v>
      </c>
      <c r="D21" s="34">
        <f t="shared" si="1"/>
        <v>0.15384615384615385</v>
      </c>
      <c r="E21" s="34">
        <f t="shared" si="1"/>
        <v>0.16666666666666666</v>
      </c>
      <c r="F21" s="34">
        <f t="shared" si="1"/>
        <v>0.15384615384615385</v>
      </c>
      <c r="G21" s="34">
        <f t="shared" si="1"/>
        <v>0.15384615384615385</v>
      </c>
      <c r="H21" s="35">
        <f t="shared" si="2"/>
        <v>0.15674301543866762</v>
      </c>
    </row>
    <row r="22" spans="1:10" x14ac:dyDescent="0.25">
      <c r="A22" s="10" t="s">
        <v>193</v>
      </c>
      <c r="B22" s="34">
        <f t="shared" si="1"/>
        <v>0.13043478260869565</v>
      </c>
      <c r="C22" s="34">
        <f t="shared" si="1"/>
        <v>0.18181818181818182</v>
      </c>
      <c r="D22" s="34">
        <f t="shared" si="1"/>
        <v>0.15384615384615385</v>
      </c>
      <c r="E22" s="34">
        <f t="shared" si="1"/>
        <v>0.16666666666666666</v>
      </c>
      <c r="F22" s="34">
        <f t="shared" si="1"/>
        <v>0.15384615384615385</v>
      </c>
      <c r="G22" s="34">
        <f t="shared" si="1"/>
        <v>0.15384615384615385</v>
      </c>
      <c r="H22" s="35">
        <f t="shared" si="2"/>
        <v>0.15674301543866762</v>
      </c>
    </row>
    <row r="23" spans="1:10" x14ac:dyDescent="0.25">
      <c r="A23" s="10" t="s">
        <v>199</v>
      </c>
      <c r="H23" s="35">
        <f>SUM(H17:H22)</f>
        <v>1</v>
      </c>
    </row>
    <row r="25" spans="1:10" x14ac:dyDescent="0.25">
      <c r="A25" s="3" t="s">
        <v>200</v>
      </c>
    </row>
    <row r="26" spans="1:10" x14ac:dyDescent="0.25">
      <c r="A26" s="10" t="s">
        <v>201</v>
      </c>
      <c r="B26" s="34">
        <f>$H$17</f>
        <v>0.269294111685416</v>
      </c>
      <c r="C26" s="34">
        <f>$H$18</f>
        <v>0.17848214587345024</v>
      </c>
      <c r="D26" s="34">
        <f>$H$19</f>
        <v>0.15674301543866762</v>
      </c>
      <c r="E26" s="34">
        <f>$H$20</f>
        <v>8.1994696125130911E-2</v>
      </c>
      <c r="F26" s="34">
        <f>$H$21</f>
        <v>0.15674301543866762</v>
      </c>
      <c r="G26" s="34">
        <f>$H$22</f>
        <v>0.15674301543866762</v>
      </c>
    </row>
    <row r="27" spans="1:10" x14ac:dyDescent="0.25">
      <c r="A27" s="9" t="s">
        <v>153</v>
      </c>
      <c r="B27" s="9" t="s">
        <v>202</v>
      </c>
      <c r="C27" s="9" t="s">
        <v>203</v>
      </c>
      <c r="D27" s="9" t="s">
        <v>204</v>
      </c>
    </row>
    <row r="28" spans="1:10" x14ac:dyDescent="0.25">
      <c r="A28" s="26" t="s">
        <v>157</v>
      </c>
      <c r="B28" s="34">
        <f t="shared" ref="B28:B33" si="3">H17</f>
        <v>0.269294111685416</v>
      </c>
      <c r="C28" s="34">
        <f t="shared" ref="C28:C33" si="4">SUMPRODUCT(B7:G7,$B$26:$G$26)</f>
        <v>1.6342184385662648</v>
      </c>
      <c r="D28" s="34">
        <f t="shared" ref="D28:D33" si="5">C28/B28</f>
        <v>6.0685264461902761</v>
      </c>
    </row>
    <row r="29" spans="1:10" x14ac:dyDescent="0.25">
      <c r="A29" s="26" t="s">
        <v>161</v>
      </c>
      <c r="B29" s="34">
        <f t="shared" si="3"/>
        <v>0.17848214587345024</v>
      </c>
      <c r="C29" s="34">
        <f t="shared" si="4"/>
        <v>1.081994696125131</v>
      </c>
      <c r="D29" s="34">
        <f t="shared" si="5"/>
        <v>6.0622012965504188</v>
      </c>
    </row>
    <row r="30" spans="1:10" x14ac:dyDescent="0.25">
      <c r="A30" s="26" t="s">
        <v>166</v>
      </c>
      <c r="B30" s="34">
        <f t="shared" si="3"/>
        <v>0.15674301543866762</v>
      </c>
      <c r="C30" s="34">
        <f t="shared" si="4"/>
        <v>0.94734764028242302</v>
      </c>
      <c r="D30" s="34">
        <f t="shared" si="5"/>
        <v>6.0439544156473959</v>
      </c>
    </row>
    <row r="31" spans="1:10" x14ac:dyDescent="0.25">
      <c r="A31" s="26" t="s">
        <v>170</v>
      </c>
      <c r="B31" s="34">
        <f t="shared" si="3"/>
        <v>8.1994696125130911E-2</v>
      </c>
      <c r="C31" s="34">
        <f t="shared" si="4"/>
        <v>0.4961149961149961</v>
      </c>
      <c r="D31" s="34">
        <f t="shared" si="5"/>
        <v>6.0505742390688564</v>
      </c>
    </row>
    <row r="32" spans="1:10" x14ac:dyDescent="0.25">
      <c r="A32" s="26" t="s">
        <v>174</v>
      </c>
      <c r="B32" s="34">
        <f t="shared" si="3"/>
        <v>0.15674301543866762</v>
      </c>
      <c r="C32" s="34">
        <f t="shared" si="4"/>
        <v>0.94734764028242302</v>
      </c>
      <c r="D32" s="34">
        <f t="shared" si="5"/>
        <v>6.0439544156473959</v>
      </c>
    </row>
    <row r="33" spans="1:7" x14ac:dyDescent="0.25">
      <c r="A33" s="26" t="s">
        <v>178</v>
      </c>
      <c r="B33" s="34">
        <f t="shared" si="3"/>
        <v>0.15674301543866762</v>
      </c>
      <c r="C33" s="34">
        <f t="shared" si="4"/>
        <v>0.94734764028242302</v>
      </c>
      <c r="D33" s="34">
        <f t="shared" si="5"/>
        <v>6.0439544156473959</v>
      </c>
    </row>
    <row r="34" spans="1:7" x14ac:dyDescent="0.25">
      <c r="A34" s="55" t="s">
        <v>205</v>
      </c>
      <c r="B34" s="56"/>
      <c r="C34" s="57"/>
      <c r="D34" s="35">
        <f>AVERAGE(D28:D33)</f>
        <v>6.0521942047919559</v>
      </c>
    </row>
    <row r="35" spans="1:7" x14ac:dyDescent="0.25">
      <c r="A35" s="55" t="s">
        <v>206</v>
      </c>
      <c r="B35" s="56"/>
      <c r="C35" s="57"/>
      <c r="D35" s="36">
        <f>COUNTA(A28:A33)</f>
        <v>6</v>
      </c>
    </row>
    <row r="36" spans="1:7" x14ac:dyDescent="0.25">
      <c r="A36" s="55" t="s">
        <v>207</v>
      </c>
      <c r="B36" s="56"/>
      <c r="C36" s="57"/>
      <c r="D36" s="35">
        <f>(D34-D35)/(D35-1)</f>
        <v>1.0438840958391182E-2</v>
      </c>
    </row>
    <row r="37" spans="1:7" x14ac:dyDescent="0.25">
      <c r="A37" s="55" t="s">
        <v>208</v>
      </c>
      <c r="B37" s="56"/>
      <c r="C37" s="57"/>
      <c r="D37" s="37">
        <f>INDEX($K$7:$K$16,D35)</f>
        <v>1.24</v>
      </c>
    </row>
    <row r="38" spans="1:7" x14ac:dyDescent="0.25">
      <c r="A38" s="55" t="s">
        <v>209</v>
      </c>
      <c r="B38" s="56"/>
      <c r="C38" s="57"/>
      <c r="D38" s="35">
        <f>D36/D37</f>
        <v>8.4184201277348238E-3</v>
      </c>
    </row>
    <row r="39" spans="1:7" x14ac:dyDescent="0.25">
      <c r="A39" s="55" t="s">
        <v>210</v>
      </c>
      <c r="B39" s="56"/>
      <c r="C39" s="57"/>
      <c r="D39" s="58" t="str">
        <f>IF(D38&lt;0.1,"KONSISTEN (CR &lt; 0,1) — bobot dapat dipakai","TIDAK KONSISTEN — perbaiki matriks")</f>
        <v>KONSISTEN (CR &lt; 0,1) — bobot dapat dipakai</v>
      </c>
      <c r="E39" s="56"/>
      <c r="F39" s="56"/>
      <c r="G39" s="57"/>
    </row>
  </sheetData>
  <mergeCells count="7">
    <mergeCell ref="A36:C36"/>
    <mergeCell ref="A37:C37"/>
    <mergeCell ref="D39:G39"/>
    <mergeCell ref="A39:C39"/>
    <mergeCell ref="A34:C34"/>
    <mergeCell ref="A35:C35"/>
    <mergeCell ref="A38:C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showGridLines="0" zoomScale="90" workbookViewId="0"/>
  </sheetViews>
  <sheetFormatPr defaultRowHeight="15" x14ac:dyDescent="0.25"/>
  <cols>
    <col min="1" max="1" width="6" customWidth="1"/>
    <col min="2" max="2" width="26" customWidth="1"/>
    <col min="3" max="8" width="14" customWidth="1"/>
  </cols>
  <sheetData>
    <row r="1" spans="1:8" ht="18" x14ac:dyDescent="0.25">
      <c r="A1" s="1" t="s">
        <v>211</v>
      </c>
    </row>
    <row r="2" spans="1:8" x14ac:dyDescent="0.25">
      <c r="A2" s="2" t="s">
        <v>212</v>
      </c>
    </row>
    <row r="4" spans="1:8" ht="30" customHeight="1" x14ac:dyDescent="0.25">
      <c r="A4" s="9" t="s">
        <v>105</v>
      </c>
      <c r="B4" s="9" t="s">
        <v>213</v>
      </c>
      <c r="C4" s="9" t="s">
        <v>214</v>
      </c>
      <c r="D4" s="9" t="s">
        <v>215</v>
      </c>
      <c r="E4" s="9" t="s">
        <v>216</v>
      </c>
      <c r="F4" s="9" t="s">
        <v>217</v>
      </c>
      <c r="G4" s="9" t="s">
        <v>218</v>
      </c>
      <c r="H4" s="9" t="s">
        <v>219</v>
      </c>
    </row>
    <row r="5" spans="1:8" x14ac:dyDescent="0.25">
      <c r="A5" s="55" t="s">
        <v>154</v>
      </c>
      <c r="B5" s="57"/>
      <c r="C5" s="25" t="str">
        <f>Kriteria!$C$5</f>
        <v>Cost</v>
      </c>
      <c r="D5" s="25" t="str">
        <f>Kriteria!$C$6</f>
        <v>Benefit</v>
      </c>
      <c r="E5" s="25" t="str">
        <f>Kriteria!$C$7</f>
        <v>Cost</v>
      </c>
      <c r="F5" s="25" t="str">
        <f>Kriteria!$C$8</f>
        <v>Benefit</v>
      </c>
      <c r="G5" s="25" t="str">
        <f>Kriteria!$C$9</f>
        <v>Benefit</v>
      </c>
      <c r="H5" s="25" t="str">
        <f>Kriteria!$C$10</f>
        <v>Benefit</v>
      </c>
    </row>
    <row r="6" spans="1:8" x14ac:dyDescent="0.25">
      <c r="A6" s="55" t="s">
        <v>220</v>
      </c>
      <c r="B6" s="57"/>
      <c r="C6" s="24">
        <f>AHP_Bobot!$H$17</f>
        <v>0.269294111685416</v>
      </c>
      <c r="D6" s="24">
        <f>AHP_Bobot!$H$18</f>
        <v>0.17848214587345024</v>
      </c>
      <c r="E6" s="24">
        <f>AHP_Bobot!$H$19</f>
        <v>0.15674301543866762</v>
      </c>
      <c r="F6" s="24">
        <f>AHP_Bobot!$H$20</f>
        <v>8.1994696125130911E-2</v>
      </c>
      <c r="G6" s="24">
        <f>AHP_Bobot!$H$21</f>
        <v>0.15674301543866762</v>
      </c>
      <c r="H6" s="24">
        <f>AHP_Bobot!$H$22</f>
        <v>0.15674301543866762</v>
      </c>
    </row>
    <row r="7" spans="1:8" x14ac:dyDescent="0.25">
      <c r="A7" s="25" t="str">
        <f>Data_Alternatif!A6</f>
        <v>A1</v>
      </c>
      <c r="B7" s="38" t="str">
        <f>Data_Alternatif!B6</f>
        <v>Kawah Putih Ciwidey</v>
      </c>
      <c r="C7" s="39">
        <f>Data_Alternatif!E6</f>
        <v>81000</v>
      </c>
      <c r="D7" s="23">
        <f>Data_Alternatif!F6</f>
        <v>4.5999999999999996</v>
      </c>
      <c r="E7" s="21">
        <f>Data_Alternatif!T6</f>
        <v>36.574538057104327</v>
      </c>
      <c r="F7" s="21">
        <f>Data_Alternatif!U6</f>
        <v>0.8</v>
      </c>
      <c r="G7" s="23">
        <f>Data_Alternatif!V6</f>
        <v>1</v>
      </c>
      <c r="H7" s="24">
        <f>Data_Alternatif!W6</f>
        <v>0.5</v>
      </c>
    </row>
    <row r="8" spans="1:8" x14ac:dyDescent="0.25">
      <c r="A8" s="25" t="str">
        <f>Data_Alternatif!A7</f>
        <v>A2</v>
      </c>
      <c r="B8" s="38" t="str">
        <f>Data_Alternatif!B7</f>
        <v>Gunung Tangkuban Perahu</v>
      </c>
      <c r="C8" s="39">
        <f>Data_Alternatif!E7</f>
        <v>30000</v>
      </c>
      <c r="D8" s="23">
        <f>Data_Alternatif!F7</f>
        <v>4.4000000000000004</v>
      </c>
      <c r="E8" s="21">
        <f>Data_Alternatif!T7</f>
        <v>17.577222974840573</v>
      </c>
      <c r="F8" s="21">
        <f>Data_Alternatif!U7</f>
        <v>0.8</v>
      </c>
      <c r="G8" s="23">
        <f>Data_Alternatif!V7</f>
        <v>1</v>
      </c>
      <c r="H8" s="24">
        <f>Data_Alternatif!W7</f>
        <v>0.5</v>
      </c>
    </row>
    <row r="9" spans="1:8" x14ac:dyDescent="0.25">
      <c r="A9" s="25" t="str">
        <f>Data_Alternatif!A8</f>
        <v>A3</v>
      </c>
      <c r="B9" s="38" t="str">
        <f>Data_Alternatif!B8</f>
        <v>Saung Angklung Udjo</v>
      </c>
      <c r="C9" s="39">
        <f>Data_Alternatif!E8</f>
        <v>75000</v>
      </c>
      <c r="D9" s="23">
        <f>Data_Alternatif!F8</f>
        <v>4.7</v>
      </c>
      <c r="E9" s="21">
        <f>Data_Alternatif!T8</f>
        <v>4.5624148383397722</v>
      </c>
      <c r="F9" s="21">
        <f>Data_Alternatif!U8</f>
        <v>0.8</v>
      </c>
      <c r="G9" s="23">
        <f>Data_Alternatif!V8</f>
        <v>0.5</v>
      </c>
      <c r="H9" s="24">
        <f>Data_Alternatif!W8</f>
        <v>0.2</v>
      </c>
    </row>
    <row r="10" spans="1:8" x14ac:dyDescent="0.25">
      <c r="A10" s="25" t="str">
        <f>Data_Alternatif!A9</f>
        <v>A4</v>
      </c>
      <c r="B10" s="38" t="str">
        <f>Data_Alternatif!B9</f>
        <v>Farmhouse Lembang</v>
      </c>
      <c r="C10" s="39">
        <f>Data_Alternatif!E9</f>
        <v>30000</v>
      </c>
      <c r="D10" s="23">
        <f>Data_Alternatif!F9</f>
        <v>4.3</v>
      </c>
      <c r="E10" s="21">
        <f>Data_Alternatif!T9</f>
        <v>9.5688101066714051</v>
      </c>
      <c r="F10" s="21">
        <f>Data_Alternatif!U9</f>
        <v>0.8</v>
      </c>
      <c r="G10" s="23">
        <f>Data_Alternatif!V9</f>
        <v>0</v>
      </c>
      <c r="H10" s="24">
        <f>Data_Alternatif!W9</f>
        <v>0.5</v>
      </c>
    </row>
    <row r="11" spans="1:8" x14ac:dyDescent="0.25">
      <c r="A11" s="25" t="str">
        <f>Data_Alternatif!A10</f>
        <v>A5</v>
      </c>
      <c r="B11" s="38" t="str">
        <f>Data_Alternatif!B10</f>
        <v>Trans Studio Bandung</v>
      </c>
      <c r="C11" s="39">
        <f>Data_Alternatif!E10</f>
        <v>200000</v>
      </c>
      <c r="D11" s="23">
        <f>Data_Alternatif!F10</f>
        <v>4.5</v>
      </c>
      <c r="E11" s="21">
        <f>Data_Alternatif!T10</f>
        <v>2.1408771627850856</v>
      </c>
      <c r="F11" s="21">
        <f>Data_Alternatif!U10</f>
        <v>1</v>
      </c>
      <c r="G11" s="23">
        <f>Data_Alternatif!V10</f>
        <v>0</v>
      </c>
      <c r="H11" s="24">
        <f>Data_Alternatif!W10</f>
        <v>0.25</v>
      </c>
    </row>
    <row r="12" spans="1:8" x14ac:dyDescent="0.25">
      <c r="A12" s="25" t="str">
        <f>Data_Alternatif!A11</f>
        <v>A6</v>
      </c>
      <c r="B12" s="38" t="str">
        <f>Data_Alternatif!B11</f>
        <v>Pantai Pangandaran</v>
      </c>
      <c r="C12" s="39">
        <f>Data_Alternatif!E11</f>
        <v>15000</v>
      </c>
      <c r="D12" s="23">
        <f>Data_Alternatif!F11</f>
        <v>4.2</v>
      </c>
      <c r="E12" s="21">
        <f>Data_Alternatif!T11</f>
        <v>143.27424714552384</v>
      </c>
      <c r="F12" s="21">
        <f>Data_Alternatif!U11</f>
        <v>1</v>
      </c>
      <c r="G12" s="23">
        <f>Data_Alternatif!V11</f>
        <v>1</v>
      </c>
      <c r="H12" s="24">
        <f>Data_Alternatif!W11</f>
        <v>0.4</v>
      </c>
    </row>
    <row r="13" spans="1:8" x14ac:dyDescent="0.25">
      <c r="A13" s="25" t="str">
        <f>Data_Alternatif!A12</f>
        <v>A7</v>
      </c>
      <c r="B13" s="38" t="str">
        <f>Data_Alternatif!B12</f>
        <v>Museum Geologi Bandung</v>
      </c>
      <c r="C13" s="39">
        <f>Data_Alternatif!E12</f>
        <v>5000</v>
      </c>
      <c r="D13" s="23">
        <f>Data_Alternatif!F12</f>
        <v>4.5</v>
      </c>
      <c r="E13" s="21">
        <f>Data_Alternatif!T12</f>
        <v>1.8867673907538742</v>
      </c>
      <c r="F13" s="21">
        <f>Data_Alternatif!U12</f>
        <v>0.6</v>
      </c>
      <c r="G13" s="23">
        <f>Data_Alternatif!V12</f>
        <v>0.5</v>
      </c>
      <c r="H13" s="24">
        <f>Data_Alternatif!W12</f>
        <v>0</v>
      </c>
    </row>
    <row r="14" spans="1:8" x14ac:dyDescent="0.25">
      <c r="A14" s="25" t="str">
        <f>Data_Alternatif!A13</f>
        <v>A8</v>
      </c>
      <c r="B14" s="38" t="str">
        <f>Data_Alternatif!B13</f>
        <v>Dusun Bambu Lembang</v>
      </c>
      <c r="C14" s="39">
        <f>Data_Alternatif!E13</f>
        <v>25000</v>
      </c>
      <c r="D14" s="23">
        <f>Data_Alternatif!F13</f>
        <v>4.4000000000000004</v>
      </c>
      <c r="E14" s="21">
        <f>Data_Alternatif!T13</f>
        <v>14.360659761202578</v>
      </c>
      <c r="F14" s="21">
        <f>Data_Alternatif!U13</f>
        <v>1</v>
      </c>
      <c r="G14" s="23">
        <f>Data_Alternatif!V13</f>
        <v>0</v>
      </c>
      <c r="H14" s="24">
        <f>Data_Alternatif!W13</f>
        <v>0.5</v>
      </c>
    </row>
    <row r="15" spans="1:8" x14ac:dyDescent="0.25">
      <c r="A15" s="25" t="str">
        <f>Data_Alternatif!A14</f>
        <v>A9</v>
      </c>
      <c r="B15" s="38" t="str">
        <f>Data_Alternatif!B14</f>
        <v>Situ Patenggang</v>
      </c>
      <c r="C15" s="39">
        <f>Data_Alternatif!E14</f>
        <v>20000</v>
      </c>
      <c r="D15" s="23">
        <f>Data_Alternatif!F14</f>
        <v>4.3</v>
      </c>
      <c r="E15" s="21">
        <f>Data_Alternatif!T14</f>
        <v>39.685866355955625</v>
      </c>
      <c r="F15" s="21">
        <f>Data_Alternatif!U14</f>
        <v>0.6</v>
      </c>
      <c r="G15" s="23">
        <f>Data_Alternatif!V14</f>
        <v>1</v>
      </c>
      <c r="H15" s="24">
        <f>Data_Alternatif!W14</f>
        <v>0.4</v>
      </c>
    </row>
    <row r="16" spans="1:8" x14ac:dyDescent="0.25">
      <c r="A16" s="25" t="str">
        <f>Data_Alternatif!A15</f>
        <v>A10</v>
      </c>
      <c r="B16" s="38" t="str">
        <f>Data_Alternatif!B15</f>
        <v>Masjid Raya Al Jabbar</v>
      </c>
      <c r="C16" s="39">
        <f>Data_Alternatif!E15</f>
        <v>5000</v>
      </c>
      <c r="D16" s="23">
        <f>Data_Alternatif!F15</f>
        <v>4.0999999999999996</v>
      </c>
      <c r="E16" s="21">
        <f>Data_Alternatif!T15</f>
        <v>8.4022856937786621</v>
      </c>
      <c r="F16" s="21">
        <f>Data_Alternatif!U15</f>
        <v>0.8</v>
      </c>
      <c r="G16" s="23">
        <f>Data_Alternatif!V15</f>
        <v>0</v>
      </c>
      <c r="H16" s="24">
        <f>Data_Alternatif!W15</f>
        <v>0.2</v>
      </c>
    </row>
    <row r="18" spans="1:1" x14ac:dyDescent="0.25">
      <c r="A18" s="2" t="s">
        <v>221</v>
      </c>
    </row>
  </sheetData>
  <mergeCells count="2">
    <mergeCell ref="A6:B6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7"/>
  <sheetViews>
    <sheetView showGridLines="0" zoomScale="90" workbookViewId="0">
      <pane xSplit="2" ySplit="4" topLeftCell="C6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6" customWidth="1"/>
    <col min="3" max="8" width="13" customWidth="1"/>
    <col min="9" max="9" width="14" customWidth="1"/>
  </cols>
  <sheetData>
    <row r="1" spans="1:8" ht="18" x14ac:dyDescent="0.25">
      <c r="A1" s="1" t="s">
        <v>222</v>
      </c>
    </row>
    <row r="2" spans="1:8" x14ac:dyDescent="0.25">
      <c r="A2" s="2" t="s">
        <v>223</v>
      </c>
    </row>
    <row r="3" spans="1:8" x14ac:dyDescent="0.25">
      <c r="A3" s="3" t="s">
        <v>224</v>
      </c>
    </row>
    <row r="4" spans="1:8" x14ac:dyDescent="0.25">
      <c r="A4" s="9" t="s">
        <v>105</v>
      </c>
      <c r="B4" s="9" t="s">
        <v>213</v>
      </c>
      <c r="C4" s="9" t="s">
        <v>157</v>
      </c>
      <c r="D4" s="9" t="s">
        <v>161</v>
      </c>
      <c r="E4" s="9" t="s">
        <v>166</v>
      </c>
      <c r="F4" s="9" t="s">
        <v>170</v>
      </c>
      <c r="G4" s="9" t="s">
        <v>174</v>
      </c>
      <c r="H4" s="9" t="s">
        <v>178</v>
      </c>
    </row>
    <row r="5" spans="1:8" x14ac:dyDescent="0.25">
      <c r="A5" s="25" t="str">
        <f>Matriks_Keputusan!A7</f>
        <v>A1</v>
      </c>
      <c r="B5" s="38" t="str">
        <f>Matriks_Keputusan!B7</f>
        <v>Kawah Putih Ciwidey</v>
      </c>
      <c r="C5" s="39">
        <f>Matriks_Keputusan!C7</f>
        <v>81000</v>
      </c>
      <c r="D5" s="23">
        <f>Matriks_Keputusan!D7</f>
        <v>4.5999999999999996</v>
      </c>
      <c r="E5" s="21">
        <f>Matriks_Keputusan!E7</f>
        <v>36.574538057104327</v>
      </c>
      <c r="F5" s="21">
        <f>Matriks_Keputusan!F7</f>
        <v>0.8</v>
      </c>
      <c r="G5" s="23">
        <f>Matriks_Keputusan!G7</f>
        <v>1</v>
      </c>
      <c r="H5" s="24">
        <f>Matriks_Keputusan!H7</f>
        <v>0.5</v>
      </c>
    </row>
    <row r="6" spans="1:8" x14ac:dyDescent="0.25">
      <c r="A6" s="25" t="str">
        <f>Matriks_Keputusan!A8</f>
        <v>A2</v>
      </c>
      <c r="B6" s="38" t="str">
        <f>Matriks_Keputusan!B8</f>
        <v>Gunung Tangkuban Perahu</v>
      </c>
      <c r="C6" s="39">
        <f>Matriks_Keputusan!C8</f>
        <v>30000</v>
      </c>
      <c r="D6" s="23">
        <f>Matriks_Keputusan!D8</f>
        <v>4.4000000000000004</v>
      </c>
      <c r="E6" s="21">
        <f>Matriks_Keputusan!E8</f>
        <v>17.577222974840573</v>
      </c>
      <c r="F6" s="21">
        <f>Matriks_Keputusan!F8</f>
        <v>0.8</v>
      </c>
      <c r="G6" s="23">
        <f>Matriks_Keputusan!G8</f>
        <v>1</v>
      </c>
      <c r="H6" s="24">
        <f>Matriks_Keputusan!H8</f>
        <v>0.5</v>
      </c>
    </row>
    <row r="7" spans="1:8" x14ac:dyDescent="0.25">
      <c r="A7" s="25" t="str">
        <f>Matriks_Keputusan!A9</f>
        <v>A3</v>
      </c>
      <c r="B7" s="38" t="str">
        <f>Matriks_Keputusan!B9</f>
        <v>Saung Angklung Udjo</v>
      </c>
      <c r="C7" s="39">
        <f>Matriks_Keputusan!C9</f>
        <v>75000</v>
      </c>
      <c r="D7" s="23">
        <f>Matriks_Keputusan!D9</f>
        <v>4.7</v>
      </c>
      <c r="E7" s="21">
        <f>Matriks_Keputusan!E9</f>
        <v>4.5624148383397722</v>
      </c>
      <c r="F7" s="21">
        <f>Matriks_Keputusan!F9</f>
        <v>0.8</v>
      </c>
      <c r="G7" s="23">
        <f>Matriks_Keputusan!G9</f>
        <v>0.5</v>
      </c>
      <c r="H7" s="24">
        <f>Matriks_Keputusan!H9</f>
        <v>0.2</v>
      </c>
    </row>
    <row r="8" spans="1:8" x14ac:dyDescent="0.25">
      <c r="A8" s="25" t="str">
        <f>Matriks_Keputusan!A10</f>
        <v>A4</v>
      </c>
      <c r="B8" s="38" t="str">
        <f>Matriks_Keputusan!B10</f>
        <v>Farmhouse Lembang</v>
      </c>
      <c r="C8" s="39">
        <f>Matriks_Keputusan!C10</f>
        <v>30000</v>
      </c>
      <c r="D8" s="23">
        <f>Matriks_Keputusan!D10</f>
        <v>4.3</v>
      </c>
      <c r="E8" s="21">
        <f>Matriks_Keputusan!E10</f>
        <v>9.5688101066714051</v>
      </c>
      <c r="F8" s="21">
        <f>Matriks_Keputusan!F10</f>
        <v>0.8</v>
      </c>
      <c r="G8" s="23">
        <f>Matriks_Keputusan!G10</f>
        <v>0</v>
      </c>
      <c r="H8" s="24">
        <f>Matriks_Keputusan!H10</f>
        <v>0.5</v>
      </c>
    </row>
    <row r="9" spans="1:8" x14ac:dyDescent="0.25">
      <c r="A9" s="25" t="str">
        <f>Matriks_Keputusan!A11</f>
        <v>A5</v>
      </c>
      <c r="B9" s="38" t="str">
        <f>Matriks_Keputusan!B11</f>
        <v>Trans Studio Bandung</v>
      </c>
      <c r="C9" s="39">
        <f>Matriks_Keputusan!C11</f>
        <v>200000</v>
      </c>
      <c r="D9" s="23">
        <f>Matriks_Keputusan!D11</f>
        <v>4.5</v>
      </c>
      <c r="E9" s="21">
        <f>Matriks_Keputusan!E11</f>
        <v>2.1408771627850856</v>
      </c>
      <c r="F9" s="21">
        <f>Matriks_Keputusan!F11</f>
        <v>1</v>
      </c>
      <c r="G9" s="23">
        <f>Matriks_Keputusan!G11</f>
        <v>0</v>
      </c>
      <c r="H9" s="24">
        <f>Matriks_Keputusan!H11</f>
        <v>0.25</v>
      </c>
    </row>
    <row r="10" spans="1:8" x14ac:dyDescent="0.25">
      <c r="A10" s="25" t="str">
        <f>Matriks_Keputusan!A12</f>
        <v>A6</v>
      </c>
      <c r="B10" s="38" t="str">
        <f>Matriks_Keputusan!B12</f>
        <v>Pantai Pangandaran</v>
      </c>
      <c r="C10" s="39">
        <f>Matriks_Keputusan!C12</f>
        <v>15000</v>
      </c>
      <c r="D10" s="23">
        <f>Matriks_Keputusan!D12</f>
        <v>4.2</v>
      </c>
      <c r="E10" s="21">
        <f>Matriks_Keputusan!E12</f>
        <v>143.27424714552384</v>
      </c>
      <c r="F10" s="21">
        <f>Matriks_Keputusan!F12</f>
        <v>1</v>
      </c>
      <c r="G10" s="23">
        <f>Matriks_Keputusan!G12</f>
        <v>1</v>
      </c>
      <c r="H10" s="24">
        <f>Matriks_Keputusan!H12</f>
        <v>0.4</v>
      </c>
    </row>
    <row r="11" spans="1:8" x14ac:dyDescent="0.25">
      <c r="A11" s="25" t="str">
        <f>Matriks_Keputusan!A13</f>
        <v>A7</v>
      </c>
      <c r="B11" s="38" t="str">
        <f>Matriks_Keputusan!B13</f>
        <v>Museum Geologi Bandung</v>
      </c>
      <c r="C11" s="39">
        <f>Matriks_Keputusan!C13</f>
        <v>5000</v>
      </c>
      <c r="D11" s="23">
        <f>Matriks_Keputusan!D13</f>
        <v>4.5</v>
      </c>
      <c r="E11" s="21">
        <f>Matriks_Keputusan!E13</f>
        <v>1.8867673907538742</v>
      </c>
      <c r="F11" s="21">
        <f>Matriks_Keputusan!F13</f>
        <v>0.6</v>
      </c>
      <c r="G11" s="23">
        <f>Matriks_Keputusan!G13</f>
        <v>0.5</v>
      </c>
      <c r="H11" s="24">
        <f>Matriks_Keputusan!H13</f>
        <v>0</v>
      </c>
    </row>
    <row r="12" spans="1:8" x14ac:dyDescent="0.25">
      <c r="A12" s="25" t="str">
        <f>Matriks_Keputusan!A14</f>
        <v>A8</v>
      </c>
      <c r="B12" s="38" t="str">
        <f>Matriks_Keputusan!B14</f>
        <v>Dusun Bambu Lembang</v>
      </c>
      <c r="C12" s="39">
        <f>Matriks_Keputusan!C14</f>
        <v>25000</v>
      </c>
      <c r="D12" s="23">
        <f>Matriks_Keputusan!D14</f>
        <v>4.4000000000000004</v>
      </c>
      <c r="E12" s="21">
        <f>Matriks_Keputusan!E14</f>
        <v>14.360659761202578</v>
      </c>
      <c r="F12" s="21">
        <f>Matriks_Keputusan!F14</f>
        <v>1</v>
      </c>
      <c r="G12" s="23">
        <f>Matriks_Keputusan!G14</f>
        <v>0</v>
      </c>
      <c r="H12" s="24">
        <f>Matriks_Keputusan!H14</f>
        <v>0.5</v>
      </c>
    </row>
    <row r="13" spans="1:8" x14ac:dyDescent="0.25">
      <c r="A13" s="25" t="str">
        <f>Matriks_Keputusan!A15</f>
        <v>A9</v>
      </c>
      <c r="B13" s="38" t="str">
        <f>Matriks_Keputusan!B15</f>
        <v>Situ Patenggang</v>
      </c>
      <c r="C13" s="39">
        <f>Matriks_Keputusan!C15</f>
        <v>20000</v>
      </c>
      <c r="D13" s="23">
        <f>Matriks_Keputusan!D15</f>
        <v>4.3</v>
      </c>
      <c r="E13" s="21">
        <f>Matriks_Keputusan!E15</f>
        <v>39.685866355955625</v>
      </c>
      <c r="F13" s="21">
        <f>Matriks_Keputusan!F15</f>
        <v>0.6</v>
      </c>
      <c r="G13" s="23">
        <f>Matriks_Keputusan!G15</f>
        <v>1</v>
      </c>
      <c r="H13" s="24">
        <f>Matriks_Keputusan!H15</f>
        <v>0.4</v>
      </c>
    </row>
    <row r="14" spans="1:8" x14ac:dyDescent="0.25">
      <c r="A14" s="25" t="str">
        <f>Matriks_Keputusan!A16</f>
        <v>A10</v>
      </c>
      <c r="B14" s="38" t="str">
        <f>Matriks_Keputusan!B16</f>
        <v>Masjid Raya Al Jabbar</v>
      </c>
      <c r="C14" s="39">
        <f>Matriks_Keputusan!C16</f>
        <v>5000</v>
      </c>
      <c r="D14" s="23">
        <f>Matriks_Keputusan!D16</f>
        <v>4.0999999999999996</v>
      </c>
      <c r="E14" s="21">
        <f>Matriks_Keputusan!E16</f>
        <v>8.4022856937786621</v>
      </c>
      <c r="F14" s="21">
        <f>Matriks_Keputusan!F16</f>
        <v>0.8</v>
      </c>
      <c r="G14" s="23">
        <f>Matriks_Keputusan!G16</f>
        <v>0</v>
      </c>
      <c r="H14" s="24">
        <f>Matriks_Keputusan!H16</f>
        <v>0.2</v>
      </c>
    </row>
    <row r="15" spans="1:8" x14ac:dyDescent="0.25">
      <c r="A15" s="55" t="s">
        <v>225</v>
      </c>
      <c r="B15" s="57"/>
      <c r="C15" s="35">
        <f t="shared" ref="C15:H15" si="0">SQRT(SUMSQ(C5:C14))</f>
        <v>235129.75141397995</v>
      </c>
      <c r="D15" s="35">
        <f t="shared" si="0"/>
        <v>13.92479802366986</v>
      </c>
      <c r="E15" s="35">
        <f t="shared" si="0"/>
        <v>155.3913814888771</v>
      </c>
      <c r="F15" s="35">
        <f t="shared" si="0"/>
        <v>2.6305892875931813</v>
      </c>
      <c r="G15" s="35">
        <f t="shared" si="0"/>
        <v>2.1213203435596424</v>
      </c>
      <c r="H15" s="35">
        <f t="shared" si="0"/>
        <v>1.2093386622447826</v>
      </c>
    </row>
    <row r="17" spans="1:8" x14ac:dyDescent="0.25">
      <c r="A17" s="3" t="s">
        <v>226</v>
      </c>
    </row>
    <row r="18" spans="1:8" x14ac:dyDescent="0.25">
      <c r="A18" s="9" t="s">
        <v>105</v>
      </c>
      <c r="B18" s="9" t="s">
        <v>213</v>
      </c>
      <c r="C18" s="9" t="s">
        <v>157</v>
      </c>
      <c r="D18" s="9" t="s">
        <v>161</v>
      </c>
      <c r="E18" s="9" t="s">
        <v>166</v>
      </c>
      <c r="F18" s="9" t="s">
        <v>170</v>
      </c>
      <c r="G18" s="9" t="s">
        <v>174</v>
      </c>
      <c r="H18" s="9" t="s">
        <v>178</v>
      </c>
    </row>
    <row r="19" spans="1:8" x14ac:dyDescent="0.25">
      <c r="A19" s="40" t="str">
        <f t="shared" ref="A19:B28" si="1">A5</f>
        <v>A1</v>
      </c>
      <c r="B19" s="16" t="str">
        <f t="shared" si="1"/>
        <v>Kawah Putih Ciwidey</v>
      </c>
      <c r="C19" s="34">
        <f t="shared" ref="C19:H28" si="2">C5/C$15</f>
        <v>0.34449064617683273</v>
      </c>
      <c r="D19" s="34">
        <f t="shared" si="2"/>
        <v>0.33034590463579855</v>
      </c>
      <c r="E19" s="34">
        <f t="shared" si="2"/>
        <v>0.23537044144061703</v>
      </c>
      <c r="F19" s="34">
        <f t="shared" si="2"/>
        <v>0.3041143685078822</v>
      </c>
      <c r="G19" s="34">
        <f t="shared" si="2"/>
        <v>0.47140452079103173</v>
      </c>
      <c r="H19" s="34">
        <f t="shared" si="2"/>
        <v>0.41344911529736145</v>
      </c>
    </row>
    <row r="20" spans="1:8" x14ac:dyDescent="0.25">
      <c r="A20" s="40" t="str">
        <f t="shared" si="1"/>
        <v>A2</v>
      </c>
      <c r="B20" s="16" t="str">
        <f t="shared" si="1"/>
        <v>Gunung Tangkuban Perahu</v>
      </c>
      <c r="C20" s="34">
        <f t="shared" si="2"/>
        <v>0.12758912821364174</v>
      </c>
      <c r="D20" s="34">
        <f t="shared" si="2"/>
        <v>0.31598303921685084</v>
      </c>
      <c r="E20" s="34">
        <f t="shared" si="2"/>
        <v>0.11311581637556102</v>
      </c>
      <c r="F20" s="34">
        <f t="shared" si="2"/>
        <v>0.3041143685078822</v>
      </c>
      <c r="G20" s="34">
        <f t="shared" si="2"/>
        <v>0.47140452079103173</v>
      </c>
      <c r="H20" s="34">
        <f t="shared" si="2"/>
        <v>0.41344911529736145</v>
      </c>
    </row>
    <row r="21" spans="1:8" x14ac:dyDescent="0.25">
      <c r="A21" s="40" t="str">
        <f t="shared" si="1"/>
        <v>A3</v>
      </c>
      <c r="B21" s="16" t="str">
        <f t="shared" si="1"/>
        <v>Saung Angklung Udjo</v>
      </c>
      <c r="C21" s="34">
        <f t="shared" si="2"/>
        <v>0.31897282053410436</v>
      </c>
      <c r="D21" s="34">
        <f t="shared" si="2"/>
        <v>0.33752733734527246</v>
      </c>
      <c r="E21" s="34">
        <f t="shared" si="2"/>
        <v>2.9360797198822442E-2</v>
      </c>
      <c r="F21" s="34">
        <f t="shared" si="2"/>
        <v>0.3041143685078822</v>
      </c>
      <c r="G21" s="34">
        <f t="shared" si="2"/>
        <v>0.23570226039551587</v>
      </c>
      <c r="H21" s="34">
        <f t="shared" si="2"/>
        <v>0.1653796461189446</v>
      </c>
    </row>
    <row r="22" spans="1:8" x14ac:dyDescent="0.25">
      <c r="A22" s="40" t="str">
        <f t="shared" si="1"/>
        <v>A4</v>
      </c>
      <c r="B22" s="16" t="str">
        <f t="shared" si="1"/>
        <v>Farmhouse Lembang</v>
      </c>
      <c r="C22" s="34">
        <f t="shared" si="2"/>
        <v>0.12758912821364174</v>
      </c>
      <c r="D22" s="34">
        <f t="shared" si="2"/>
        <v>0.30880160650737692</v>
      </c>
      <c r="E22" s="34">
        <f t="shared" si="2"/>
        <v>6.1578769781104881E-2</v>
      </c>
      <c r="F22" s="34">
        <f t="shared" si="2"/>
        <v>0.3041143685078822</v>
      </c>
      <c r="G22" s="34">
        <f t="shared" si="2"/>
        <v>0</v>
      </c>
      <c r="H22" s="34">
        <f t="shared" si="2"/>
        <v>0.41344911529736145</v>
      </c>
    </row>
    <row r="23" spans="1:8" x14ac:dyDescent="0.25">
      <c r="A23" s="40" t="str">
        <f t="shared" si="1"/>
        <v>A5</v>
      </c>
      <c r="B23" s="16" t="str">
        <f t="shared" si="1"/>
        <v>Trans Studio Bandung</v>
      </c>
      <c r="C23" s="34">
        <f t="shared" si="2"/>
        <v>0.850594188090945</v>
      </c>
      <c r="D23" s="34">
        <f t="shared" si="2"/>
        <v>0.32316447192632469</v>
      </c>
      <c r="E23" s="34">
        <f t="shared" si="2"/>
        <v>1.3777322411785942E-2</v>
      </c>
      <c r="F23" s="34">
        <f t="shared" si="2"/>
        <v>0.3801429606348527</v>
      </c>
      <c r="G23" s="34">
        <f t="shared" si="2"/>
        <v>0</v>
      </c>
      <c r="H23" s="34">
        <f t="shared" si="2"/>
        <v>0.20672455764868072</v>
      </c>
    </row>
    <row r="24" spans="1:8" x14ac:dyDescent="0.25">
      <c r="A24" s="40" t="str">
        <f t="shared" si="1"/>
        <v>A6</v>
      </c>
      <c r="B24" s="16" t="str">
        <f t="shared" si="1"/>
        <v>Pantai Pangandaran</v>
      </c>
      <c r="C24" s="34">
        <f t="shared" si="2"/>
        <v>6.379456410682087E-2</v>
      </c>
      <c r="D24" s="34">
        <f t="shared" si="2"/>
        <v>0.30162017379790307</v>
      </c>
      <c r="E24" s="34">
        <f t="shared" si="2"/>
        <v>0.92202183784420111</v>
      </c>
      <c r="F24" s="34">
        <f t="shared" si="2"/>
        <v>0.3801429606348527</v>
      </c>
      <c r="G24" s="34">
        <f t="shared" si="2"/>
        <v>0.47140452079103173</v>
      </c>
      <c r="H24" s="34">
        <f t="shared" si="2"/>
        <v>0.33075929223788919</v>
      </c>
    </row>
    <row r="25" spans="1:8" x14ac:dyDescent="0.25">
      <c r="A25" s="40" t="str">
        <f t="shared" si="1"/>
        <v>A7</v>
      </c>
      <c r="B25" s="16" t="str">
        <f t="shared" si="1"/>
        <v>Museum Geologi Bandung</v>
      </c>
      <c r="C25" s="34">
        <f t="shared" si="2"/>
        <v>2.1264854702273624E-2</v>
      </c>
      <c r="D25" s="34">
        <f t="shared" si="2"/>
        <v>0.32316447192632469</v>
      </c>
      <c r="E25" s="34">
        <f t="shared" si="2"/>
        <v>1.2142033700169716E-2</v>
      </c>
      <c r="F25" s="34">
        <f t="shared" si="2"/>
        <v>0.22808577638091163</v>
      </c>
      <c r="G25" s="34">
        <f t="shared" si="2"/>
        <v>0.23570226039551587</v>
      </c>
      <c r="H25" s="34">
        <f t="shared" si="2"/>
        <v>0</v>
      </c>
    </row>
    <row r="26" spans="1:8" x14ac:dyDescent="0.25">
      <c r="A26" s="40" t="str">
        <f t="shared" si="1"/>
        <v>A8</v>
      </c>
      <c r="B26" s="16" t="str">
        <f t="shared" si="1"/>
        <v>Dusun Bambu Lembang</v>
      </c>
      <c r="C26" s="34">
        <f t="shared" si="2"/>
        <v>0.10632427351136813</v>
      </c>
      <c r="D26" s="34">
        <f t="shared" si="2"/>
        <v>0.31598303921685084</v>
      </c>
      <c r="E26" s="34">
        <f t="shared" si="2"/>
        <v>9.2416063385281841E-2</v>
      </c>
      <c r="F26" s="34">
        <f t="shared" si="2"/>
        <v>0.3801429606348527</v>
      </c>
      <c r="G26" s="34">
        <f t="shared" si="2"/>
        <v>0</v>
      </c>
      <c r="H26" s="34">
        <f t="shared" si="2"/>
        <v>0.41344911529736145</v>
      </c>
    </row>
    <row r="27" spans="1:8" x14ac:dyDescent="0.25">
      <c r="A27" s="40" t="str">
        <f t="shared" si="1"/>
        <v>A9</v>
      </c>
      <c r="B27" s="16" t="str">
        <f t="shared" si="1"/>
        <v>Situ Patenggang</v>
      </c>
      <c r="C27" s="34">
        <f t="shared" si="2"/>
        <v>8.5059418809094497E-2</v>
      </c>
      <c r="D27" s="34">
        <f t="shared" si="2"/>
        <v>0.30880160650737692</v>
      </c>
      <c r="E27" s="34">
        <f t="shared" si="2"/>
        <v>0.25539296951804458</v>
      </c>
      <c r="F27" s="34">
        <f t="shared" si="2"/>
        <v>0.22808577638091163</v>
      </c>
      <c r="G27" s="34">
        <f t="shared" si="2"/>
        <v>0.47140452079103173</v>
      </c>
      <c r="H27" s="34">
        <f t="shared" si="2"/>
        <v>0.33075929223788919</v>
      </c>
    </row>
    <row r="28" spans="1:8" x14ac:dyDescent="0.25">
      <c r="A28" s="40" t="str">
        <f t="shared" si="1"/>
        <v>A10</v>
      </c>
      <c r="B28" s="16" t="str">
        <f t="shared" si="1"/>
        <v>Masjid Raya Al Jabbar</v>
      </c>
      <c r="C28" s="34">
        <f t="shared" si="2"/>
        <v>2.1264854702273624E-2</v>
      </c>
      <c r="D28" s="34">
        <f t="shared" si="2"/>
        <v>0.29443874108842916</v>
      </c>
      <c r="E28" s="34">
        <f t="shared" si="2"/>
        <v>5.407176133754945E-2</v>
      </c>
      <c r="F28" s="34">
        <f t="shared" si="2"/>
        <v>0.3041143685078822</v>
      </c>
      <c r="G28" s="34">
        <f t="shared" si="2"/>
        <v>0</v>
      </c>
      <c r="H28" s="34">
        <f t="shared" si="2"/>
        <v>0.1653796461189446</v>
      </c>
    </row>
    <row r="30" spans="1:8" x14ac:dyDescent="0.25">
      <c r="A30" s="3" t="s">
        <v>227</v>
      </c>
    </row>
    <row r="31" spans="1:8" x14ac:dyDescent="0.25">
      <c r="A31" s="55" t="s">
        <v>220</v>
      </c>
      <c r="B31" s="57"/>
      <c r="C31" s="24">
        <f>Matriks_Keputusan!C6</f>
        <v>0.269294111685416</v>
      </c>
      <c r="D31" s="24">
        <f>Matriks_Keputusan!D6</f>
        <v>0.17848214587345024</v>
      </c>
      <c r="E31" s="24">
        <f>Matriks_Keputusan!E6</f>
        <v>0.15674301543866762</v>
      </c>
      <c r="F31" s="24">
        <f>Matriks_Keputusan!F6</f>
        <v>8.1994696125130911E-2</v>
      </c>
      <c r="G31" s="24">
        <f>Matriks_Keputusan!G6</f>
        <v>0.15674301543866762</v>
      </c>
      <c r="H31" s="24">
        <f>Matriks_Keputusan!H6</f>
        <v>0.15674301543866762</v>
      </c>
    </row>
    <row r="32" spans="1:8" x14ac:dyDescent="0.25">
      <c r="A32" s="9" t="s">
        <v>105</v>
      </c>
      <c r="B32" s="9" t="s">
        <v>213</v>
      </c>
      <c r="C32" s="9" t="s">
        <v>157</v>
      </c>
      <c r="D32" s="9" t="s">
        <v>161</v>
      </c>
      <c r="E32" s="9" t="s">
        <v>166</v>
      </c>
      <c r="F32" s="9" t="s">
        <v>170</v>
      </c>
      <c r="G32" s="9" t="s">
        <v>174</v>
      </c>
      <c r="H32" s="9" t="s">
        <v>178</v>
      </c>
    </row>
    <row r="33" spans="1:8" x14ac:dyDescent="0.25">
      <c r="A33" s="40" t="str">
        <f t="shared" ref="A33:B42" si="3">A5</f>
        <v>A1</v>
      </c>
      <c r="B33" s="16" t="str">
        <f t="shared" si="3"/>
        <v>Kawah Putih Ciwidey</v>
      </c>
      <c r="C33" s="34">
        <f t="shared" ref="C33:H42" si="4">C$31*C19</f>
        <v>9.2769302546125115E-2</v>
      </c>
      <c r="D33" s="34">
        <f t="shared" si="4"/>
        <v>5.8960845939903479E-2</v>
      </c>
      <c r="E33" s="34">
        <f t="shared" si="4"/>
        <v>3.6892672736532649E-2</v>
      </c>
      <c r="F33" s="34">
        <f t="shared" si="4"/>
        <v>2.4935765233089883E-2</v>
      </c>
      <c r="G33" s="34">
        <f t="shared" si="4"/>
        <v>7.3889366080206395E-2</v>
      </c>
      <c r="H33" s="34">
        <f t="shared" si="4"/>
        <v>6.4805261062157796E-2</v>
      </c>
    </row>
    <row r="34" spans="1:8" x14ac:dyDescent="0.25">
      <c r="A34" s="40" t="str">
        <f t="shared" si="3"/>
        <v>A2</v>
      </c>
      <c r="B34" s="16" t="str">
        <f t="shared" si="3"/>
        <v>Gunung Tangkuban Perahu</v>
      </c>
      <c r="C34" s="34">
        <f t="shared" si="4"/>
        <v>3.4359000943009303E-2</v>
      </c>
      <c r="D34" s="34">
        <f t="shared" si="4"/>
        <v>5.6397330899038117E-2</v>
      </c>
      <c r="E34" s="34">
        <f t="shared" si="4"/>
        <v>1.7730114152512053E-2</v>
      </c>
      <c r="F34" s="34">
        <f t="shared" si="4"/>
        <v>2.4935765233089883E-2</v>
      </c>
      <c r="G34" s="34">
        <f t="shared" si="4"/>
        <v>7.3889366080206395E-2</v>
      </c>
      <c r="H34" s="34">
        <f t="shared" si="4"/>
        <v>6.4805261062157796E-2</v>
      </c>
    </row>
    <row r="35" spans="1:8" x14ac:dyDescent="0.25">
      <c r="A35" s="40" t="str">
        <f t="shared" si="3"/>
        <v>A3</v>
      </c>
      <c r="B35" s="16" t="str">
        <f t="shared" si="3"/>
        <v>Saung Angklung Udjo</v>
      </c>
      <c r="C35" s="34">
        <f t="shared" si="4"/>
        <v>8.5897502357523262E-2</v>
      </c>
      <c r="D35" s="34">
        <f t="shared" si="4"/>
        <v>6.0242603460336171E-2</v>
      </c>
      <c r="E35" s="34">
        <f t="shared" si="4"/>
        <v>4.6020998886266151E-3</v>
      </c>
      <c r="F35" s="34">
        <f t="shared" si="4"/>
        <v>2.4935765233089883E-2</v>
      </c>
      <c r="G35" s="34">
        <f t="shared" si="4"/>
        <v>3.6944683040103198E-2</v>
      </c>
      <c r="H35" s="34">
        <f t="shared" si="4"/>
        <v>2.5922104424863118E-2</v>
      </c>
    </row>
    <row r="36" spans="1:8" x14ac:dyDescent="0.25">
      <c r="A36" s="40" t="str">
        <f t="shared" si="3"/>
        <v>A4</v>
      </c>
      <c r="B36" s="16" t="str">
        <f t="shared" si="3"/>
        <v>Farmhouse Lembang</v>
      </c>
      <c r="C36" s="34">
        <f t="shared" si="4"/>
        <v>3.4359000943009303E-2</v>
      </c>
      <c r="D36" s="34">
        <f t="shared" si="4"/>
        <v>5.5115573378605426E-2</v>
      </c>
      <c r="E36" s="34">
        <f t="shared" si="4"/>
        <v>9.6520420624938812E-3</v>
      </c>
      <c r="F36" s="34">
        <f t="shared" si="4"/>
        <v>2.4935765233089883E-2</v>
      </c>
      <c r="G36" s="34">
        <f t="shared" si="4"/>
        <v>0</v>
      </c>
      <c r="H36" s="34">
        <f t="shared" si="4"/>
        <v>6.4805261062157796E-2</v>
      </c>
    </row>
    <row r="37" spans="1:8" x14ac:dyDescent="0.25">
      <c r="A37" s="40" t="str">
        <f t="shared" si="3"/>
        <v>A5</v>
      </c>
      <c r="B37" s="16" t="str">
        <f t="shared" si="3"/>
        <v>Trans Studio Bandung</v>
      </c>
      <c r="C37" s="34">
        <f t="shared" si="4"/>
        <v>0.22906000628672868</v>
      </c>
      <c r="D37" s="34">
        <f t="shared" si="4"/>
        <v>5.7679088419470795E-2</v>
      </c>
      <c r="E37" s="34">
        <f t="shared" si="4"/>
        <v>2.1594990594940651E-3</v>
      </c>
      <c r="F37" s="34">
        <f t="shared" si="4"/>
        <v>3.1169706541362349E-2</v>
      </c>
      <c r="G37" s="34">
        <f t="shared" si="4"/>
        <v>0</v>
      </c>
      <c r="H37" s="34">
        <f t="shared" si="4"/>
        <v>3.2402630531078898E-2</v>
      </c>
    </row>
    <row r="38" spans="1:8" x14ac:dyDescent="0.25">
      <c r="A38" s="40" t="str">
        <f t="shared" si="3"/>
        <v>A6</v>
      </c>
      <c r="B38" s="16" t="str">
        <f t="shared" si="3"/>
        <v>Pantai Pangandaran</v>
      </c>
      <c r="C38" s="34">
        <f t="shared" si="4"/>
        <v>1.7179500471504652E-2</v>
      </c>
      <c r="D38" s="34">
        <f t="shared" si="4"/>
        <v>5.3833815858172748E-2</v>
      </c>
      <c r="E38" s="34">
        <f t="shared" si="4"/>
        <v>0.14452048316400232</v>
      </c>
      <c r="F38" s="34">
        <f t="shared" si="4"/>
        <v>3.1169706541362349E-2</v>
      </c>
      <c r="G38" s="34">
        <f t="shared" si="4"/>
        <v>7.3889366080206395E-2</v>
      </c>
      <c r="H38" s="34">
        <f t="shared" si="4"/>
        <v>5.1844208849726237E-2</v>
      </c>
    </row>
    <row r="39" spans="1:8" x14ac:dyDescent="0.25">
      <c r="A39" s="40" t="str">
        <f t="shared" si="3"/>
        <v>A7</v>
      </c>
      <c r="B39" s="16" t="str">
        <f t="shared" si="3"/>
        <v>Museum Geologi Bandung</v>
      </c>
      <c r="C39" s="34">
        <f t="shared" si="4"/>
        <v>5.7265001571682175E-3</v>
      </c>
      <c r="D39" s="34">
        <f t="shared" si="4"/>
        <v>5.7679088419470795E-2</v>
      </c>
      <c r="E39" s="34">
        <f t="shared" si="4"/>
        <v>1.9031789757225242E-3</v>
      </c>
      <c r="F39" s="34">
        <f t="shared" si="4"/>
        <v>1.870182392481741E-2</v>
      </c>
      <c r="G39" s="34">
        <f t="shared" si="4"/>
        <v>3.6944683040103198E-2</v>
      </c>
      <c r="H39" s="34">
        <f t="shared" si="4"/>
        <v>0</v>
      </c>
    </row>
    <row r="40" spans="1:8" x14ac:dyDescent="0.25">
      <c r="A40" s="40" t="str">
        <f t="shared" si="3"/>
        <v>A8</v>
      </c>
      <c r="B40" s="16" t="str">
        <f t="shared" si="3"/>
        <v>Dusun Bambu Lembang</v>
      </c>
      <c r="C40" s="34">
        <f t="shared" si="4"/>
        <v>2.8632500785841085E-2</v>
      </c>
      <c r="D40" s="34">
        <f t="shared" si="4"/>
        <v>5.6397330899038117E-2</v>
      </c>
      <c r="E40" s="34">
        <f t="shared" si="4"/>
        <v>1.4485572449980116E-2</v>
      </c>
      <c r="F40" s="34">
        <f t="shared" si="4"/>
        <v>3.1169706541362349E-2</v>
      </c>
      <c r="G40" s="34">
        <f t="shared" si="4"/>
        <v>0</v>
      </c>
      <c r="H40" s="34">
        <f t="shared" si="4"/>
        <v>6.4805261062157796E-2</v>
      </c>
    </row>
    <row r="41" spans="1:8" x14ac:dyDescent="0.25">
      <c r="A41" s="40" t="str">
        <f t="shared" si="3"/>
        <v>A9</v>
      </c>
      <c r="B41" s="16" t="str">
        <f t="shared" si="3"/>
        <v>Situ Patenggang</v>
      </c>
      <c r="C41" s="34">
        <f t="shared" si="4"/>
        <v>2.290600062867287E-2</v>
      </c>
      <c r="D41" s="34">
        <f t="shared" si="4"/>
        <v>5.5115573378605426E-2</v>
      </c>
      <c r="E41" s="34">
        <f t="shared" si="4"/>
        <v>4.0031064164094028E-2</v>
      </c>
      <c r="F41" s="34">
        <f t="shared" si="4"/>
        <v>1.870182392481741E-2</v>
      </c>
      <c r="G41" s="34">
        <f t="shared" si="4"/>
        <v>7.3889366080206395E-2</v>
      </c>
      <c r="H41" s="34">
        <f t="shared" si="4"/>
        <v>5.1844208849726237E-2</v>
      </c>
    </row>
    <row r="42" spans="1:8" x14ac:dyDescent="0.25">
      <c r="A42" s="40" t="str">
        <f t="shared" si="3"/>
        <v>A10</v>
      </c>
      <c r="B42" s="16" t="str">
        <f t="shared" si="3"/>
        <v>Masjid Raya Al Jabbar</v>
      </c>
      <c r="C42" s="34">
        <f t="shared" si="4"/>
        <v>5.7265001571682175E-3</v>
      </c>
      <c r="D42" s="34">
        <f t="shared" si="4"/>
        <v>5.2552058337740057E-2</v>
      </c>
      <c r="E42" s="34">
        <f t="shared" si="4"/>
        <v>8.4753709221274641E-3</v>
      </c>
      <c r="F42" s="34">
        <f t="shared" si="4"/>
        <v>2.4935765233089883E-2</v>
      </c>
      <c r="G42" s="34">
        <f t="shared" si="4"/>
        <v>0</v>
      </c>
      <c r="H42" s="34">
        <f t="shared" si="4"/>
        <v>2.5922104424863118E-2</v>
      </c>
    </row>
    <row r="44" spans="1:8" x14ac:dyDescent="0.25">
      <c r="A44" s="3" t="s">
        <v>228</v>
      </c>
    </row>
    <row r="45" spans="1:8" x14ac:dyDescent="0.25">
      <c r="A45" s="55" t="s">
        <v>229</v>
      </c>
      <c r="B45" s="57"/>
      <c r="C45" s="25" t="str">
        <f>Matriks_Keputusan!C5</f>
        <v>Cost</v>
      </c>
      <c r="D45" s="25" t="str">
        <f>Matriks_Keputusan!D5</f>
        <v>Benefit</v>
      </c>
      <c r="E45" s="25" t="str">
        <f>Matriks_Keputusan!E5</f>
        <v>Cost</v>
      </c>
      <c r="F45" s="25" t="str">
        <f>Matriks_Keputusan!F5</f>
        <v>Benefit</v>
      </c>
      <c r="G45" s="25" t="str">
        <f>Matriks_Keputusan!G5</f>
        <v>Benefit</v>
      </c>
      <c r="H45" s="25" t="str">
        <f>Matriks_Keputusan!H5</f>
        <v>Benefit</v>
      </c>
    </row>
    <row r="46" spans="1:8" x14ac:dyDescent="0.25">
      <c r="A46" s="55" t="s">
        <v>230</v>
      </c>
      <c r="B46" s="57"/>
      <c r="C46" s="35">
        <f t="shared" ref="C46:H46" si="5">IF(C45="Benefit",MAX(C33:C42),MIN(C33:C42))</f>
        <v>5.7265001571682175E-3</v>
      </c>
      <c r="D46" s="35">
        <f t="shared" si="5"/>
        <v>6.0242603460336171E-2</v>
      </c>
      <c r="E46" s="35">
        <f t="shared" si="5"/>
        <v>1.9031789757225242E-3</v>
      </c>
      <c r="F46" s="35">
        <f t="shared" si="5"/>
        <v>3.1169706541362349E-2</v>
      </c>
      <c r="G46" s="35">
        <f t="shared" si="5"/>
        <v>7.3889366080206395E-2</v>
      </c>
      <c r="H46" s="35">
        <f t="shared" si="5"/>
        <v>6.4805261062157796E-2</v>
      </c>
    </row>
    <row r="47" spans="1:8" x14ac:dyDescent="0.25">
      <c r="A47" s="55" t="s">
        <v>231</v>
      </c>
      <c r="B47" s="57"/>
      <c r="C47" s="35">
        <f t="shared" ref="C47:H47" si="6">IF(C45="Benefit",MIN(C33:C42),MAX(C33:C42))</f>
        <v>0.22906000628672868</v>
      </c>
      <c r="D47" s="35">
        <f t="shared" si="6"/>
        <v>5.2552058337740057E-2</v>
      </c>
      <c r="E47" s="35">
        <f t="shared" si="6"/>
        <v>0.14452048316400232</v>
      </c>
      <c r="F47" s="35">
        <f t="shared" si="6"/>
        <v>1.870182392481741E-2</v>
      </c>
      <c r="G47" s="35">
        <f t="shared" si="6"/>
        <v>0</v>
      </c>
      <c r="H47" s="35">
        <f t="shared" si="6"/>
        <v>0</v>
      </c>
    </row>
    <row r="49" spans="1:6" x14ac:dyDescent="0.25">
      <c r="A49" s="3" t="s">
        <v>232</v>
      </c>
    </row>
    <row r="50" spans="1:6" ht="25.5" x14ac:dyDescent="0.25">
      <c r="A50" s="9" t="s">
        <v>105</v>
      </c>
      <c r="B50" s="9" t="s">
        <v>213</v>
      </c>
      <c r="C50" s="9" t="s">
        <v>233</v>
      </c>
      <c r="D50" s="9" t="s">
        <v>234</v>
      </c>
      <c r="E50" s="9" t="s">
        <v>235</v>
      </c>
      <c r="F50" s="9" t="s">
        <v>49</v>
      </c>
    </row>
    <row r="51" spans="1:6" x14ac:dyDescent="0.25">
      <c r="A51" s="40" t="str">
        <f t="shared" ref="A51:B60" si="7">A5</f>
        <v>A1</v>
      </c>
      <c r="B51" s="16" t="str">
        <f t="shared" si="7"/>
        <v>Kawah Putih Ciwidey</v>
      </c>
      <c r="C51" s="34">
        <f t="shared" ref="C51:C60" si="8">SQRT(SUMPRODUCT((C33:H33-$C$46:$H$46)^2))</f>
        <v>9.4027756795198217E-2</v>
      </c>
      <c r="D51" s="34">
        <f t="shared" ref="D51:D60" si="9">SQRT(SUMPRODUCT((C33:H33-$C$47:$H$47)^2))</f>
        <v>0.19974532877480294</v>
      </c>
      <c r="E51" s="35">
        <f t="shared" ref="E51:E60" si="10">D51/(C51+D51)</f>
        <v>0.67993066276729086</v>
      </c>
      <c r="F51" s="36">
        <f t="shared" ref="F51:F60" si="11">RANK(E51,$E$51:$E$60,0)</f>
        <v>8</v>
      </c>
    </row>
    <row r="52" spans="1:6" x14ac:dyDescent="0.25">
      <c r="A52" s="40" t="str">
        <f t="shared" si="7"/>
        <v>A2</v>
      </c>
      <c r="B52" s="16" t="str">
        <f t="shared" si="7"/>
        <v>Gunung Tangkuban Perahu</v>
      </c>
      <c r="C52" s="34">
        <f t="shared" si="8"/>
        <v>3.3525514517262003E-2</v>
      </c>
      <c r="D52" s="34">
        <f t="shared" si="9"/>
        <v>0.25238321573016648</v>
      </c>
      <c r="E52" s="35">
        <f t="shared" si="10"/>
        <v>0.88274050082958766</v>
      </c>
      <c r="F52" s="36">
        <f t="shared" si="11"/>
        <v>1</v>
      </c>
    </row>
    <row r="53" spans="1:6" x14ac:dyDescent="0.25">
      <c r="A53" s="40" t="str">
        <f t="shared" si="7"/>
        <v>A3</v>
      </c>
      <c r="B53" s="16" t="str">
        <f t="shared" si="7"/>
        <v>Saung Angklung Udjo</v>
      </c>
      <c r="C53" s="34">
        <f t="shared" si="8"/>
        <v>9.669718334653038E-2</v>
      </c>
      <c r="D53" s="34">
        <f t="shared" si="9"/>
        <v>0.20544470818431795</v>
      </c>
      <c r="E53" s="35">
        <f t="shared" si="10"/>
        <v>0.67996101812761134</v>
      </c>
      <c r="F53" s="36">
        <f t="shared" si="11"/>
        <v>7</v>
      </c>
    </row>
    <row r="54" spans="1:6" x14ac:dyDescent="0.25">
      <c r="A54" s="40" t="str">
        <f t="shared" si="7"/>
        <v>A4</v>
      </c>
      <c r="B54" s="16" t="str">
        <f t="shared" si="7"/>
        <v>Farmhouse Lembang</v>
      </c>
      <c r="C54" s="34">
        <f t="shared" si="8"/>
        <v>8.0029068855119331E-2</v>
      </c>
      <c r="D54" s="34">
        <f t="shared" si="9"/>
        <v>0.24564839381103276</v>
      </c>
      <c r="E54" s="35">
        <f t="shared" si="10"/>
        <v>0.75426893773992543</v>
      </c>
      <c r="F54" s="36">
        <f t="shared" si="11"/>
        <v>6</v>
      </c>
    </row>
    <row r="55" spans="1:6" x14ac:dyDescent="0.25">
      <c r="A55" s="40" t="str">
        <f t="shared" si="7"/>
        <v>A5</v>
      </c>
      <c r="B55" s="16" t="str">
        <f t="shared" si="7"/>
        <v>Trans Studio Bandung</v>
      </c>
      <c r="C55" s="34">
        <f t="shared" si="8"/>
        <v>0.23747433788630903</v>
      </c>
      <c r="D55" s="34">
        <f t="shared" si="9"/>
        <v>0.14662303637197183</v>
      </c>
      <c r="E55" s="35">
        <f t="shared" si="10"/>
        <v>0.38173402423047353</v>
      </c>
      <c r="F55" s="36">
        <f t="shared" si="11"/>
        <v>10</v>
      </c>
    </row>
    <row r="56" spans="1:6" x14ac:dyDescent="0.25">
      <c r="A56" s="40" t="str">
        <f t="shared" si="7"/>
        <v>A6</v>
      </c>
      <c r="B56" s="16" t="str">
        <f t="shared" si="7"/>
        <v>Pantai Pangandaran</v>
      </c>
      <c r="C56" s="34">
        <f t="shared" si="8"/>
        <v>0.14380517411802518</v>
      </c>
      <c r="D56" s="34">
        <f t="shared" si="9"/>
        <v>0.23064669985669661</v>
      </c>
      <c r="E56" s="35">
        <f t="shared" si="10"/>
        <v>0.61595819352814063</v>
      </c>
      <c r="F56" s="36">
        <f t="shared" si="11"/>
        <v>9</v>
      </c>
    </row>
    <row r="57" spans="1:6" x14ac:dyDescent="0.25">
      <c r="A57" s="40" t="str">
        <f t="shared" si="7"/>
        <v>A7</v>
      </c>
      <c r="B57" s="16" t="str">
        <f t="shared" si="7"/>
        <v>Museum Geologi Bandung</v>
      </c>
      <c r="C57" s="34">
        <f t="shared" si="8"/>
        <v>7.5674640220967024E-2</v>
      </c>
      <c r="D57" s="34">
        <f t="shared" si="9"/>
        <v>0.26759810622731883</v>
      </c>
      <c r="E57" s="35">
        <f t="shared" si="10"/>
        <v>0.77954952438274194</v>
      </c>
      <c r="F57" s="36">
        <f t="shared" si="11"/>
        <v>3</v>
      </c>
    </row>
    <row r="58" spans="1:6" x14ac:dyDescent="0.25">
      <c r="A58" s="40" t="str">
        <f t="shared" si="7"/>
        <v>A8</v>
      </c>
      <c r="B58" s="16" t="str">
        <f t="shared" si="7"/>
        <v>Dusun Bambu Lembang</v>
      </c>
      <c r="C58" s="34">
        <f t="shared" si="8"/>
        <v>7.8469268068124792E-2</v>
      </c>
      <c r="D58" s="34">
        <f t="shared" si="9"/>
        <v>0.2478915469415145</v>
      </c>
      <c r="E58" s="35">
        <f t="shared" si="10"/>
        <v>0.75956283824757831</v>
      </c>
      <c r="F58" s="36">
        <f t="shared" si="11"/>
        <v>4</v>
      </c>
    </row>
    <row r="59" spans="1:6" x14ac:dyDescent="0.25">
      <c r="A59" s="40" t="str">
        <f t="shared" si="7"/>
        <v>A9</v>
      </c>
      <c r="B59" s="16" t="str">
        <f t="shared" si="7"/>
        <v>Situ Patenggang</v>
      </c>
      <c r="C59" s="34">
        <f t="shared" si="8"/>
        <v>4.5810416656480661E-2</v>
      </c>
      <c r="D59" s="34">
        <f t="shared" si="9"/>
        <v>0.24813614156779668</v>
      </c>
      <c r="E59" s="35">
        <f t="shared" si="10"/>
        <v>0.84415392738999884</v>
      </c>
      <c r="F59" s="36">
        <f t="shared" si="11"/>
        <v>2</v>
      </c>
    </row>
    <row r="60" spans="1:6" x14ac:dyDescent="0.25">
      <c r="A60" s="40" t="str">
        <f t="shared" si="7"/>
        <v>A10</v>
      </c>
      <c r="B60" s="16" t="str">
        <f t="shared" si="7"/>
        <v>Masjid Raya Al Jabbar</v>
      </c>
      <c r="C60" s="34">
        <f t="shared" si="8"/>
        <v>8.4337052979774021E-2</v>
      </c>
      <c r="D60" s="34">
        <f t="shared" si="9"/>
        <v>0.26286297770335643</v>
      </c>
      <c r="E60" s="35">
        <f t="shared" si="10"/>
        <v>0.75709376288407182</v>
      </c>
      <c r="F60" s="36">
        <f t="shared" si="11"/>
        <v>5</v>
      </c>
    </row>
    <row r="62" spans="1:6" x14ac:dyDescent="0.25">
      <c r="A62" s="55" t="s">
        <v>236</v>
      </c>
      <c r="B62" s="57"/>
      <c r="C62" s="59" t="str">
        <f>INDEX(B51:B60,MATCH(1,F51:F60,0))</f>
        <v>Gunung Tangkuban Perahu</v>
      </c>
      <c r="D62" s="57"/>
      <c r="E62" s="41">
        <f>MAX(E51:E60)</f>
        <v>0.88274050082958766</v>
      </c>
      <c r="F62" s="2" t="s">
        <v>237</v>
      </c>
    </row>
    <row r="64" spans="1:6" x14ac:dyDescent="0.25">
      <c r="A64" s="3" t="s">
        <v>238</v>
      </c>
    </row>
    <row r="65" spans="1:9" x14ac:dyDescent="0.25">
      <c r="A65" s="9" t="s">
        <v>105</v>
      </c>
      <c r="B65" s="9" t="s">
        <v>213</v>
      </c>
      <c r="C65" s="9" t="s">
        <v>157</v>
      </c>
      <c r="D65" s="9" t="s">
        <v>161</v>
      </c>
      <c r="E65" s="9" t="s">
        <v>166</v>
      </c>
      <c r="F65" s="9" t="s">
        <v>170</v>
      </c>
      <c r="G65" s="9" t="s">
        <v>174</v>
      </c>
      <c r="H65" s="9" t="s">
        <v>178</v>
      </c>
      <c r="I65" s="9" t="s">
        <v>239</v>
      </c>
    </row>
    <row r="66" spans="1:9" x14ac:dyDescent="0.25">
      <c r="A66" s="40" t="str">
        <f t="shared" ref="A66:B75" si="12">A5</f>
        <v>A1</v>
      </c>
      <c r="B66" s="16" t="str">
        <f t="shared" si="12"/>
        <v>Kawah Putih Ciwidey</v>
      </c>
      <c r="C66" s="22">
        <f t="shared" ref="C66:H75" si="13">IFERROR(1-ABS(C33-C$46)/ABS(C$46-C$47),1)</f>
        <v>0.61025641025641031</v>
      </c>
      <c r="D66" s="22">
        <f t="shared" si="13"/>
        <v>0.83333333333333259</v>
      </c>
      <c r="E66" s="22">
        <f t="shared" si="13"/>
        <v>0.75466165231522064</v>
      </c>
      <c r="F66" s="22">
        <f t="shared" si="13"/>
        <v>0.50000000000000022</v>
      </c>
      <c r="G66" s="22">
        <f t="shared" si="13"/>
        <v>1</v>
      </c>
      <c r="H66" s="22">
        <f t="shared" si="13"/>
        <v>1</v>
      </c>
      <c r="I66" s="22">
        <f t="shared" ref="I66:I75" si="14">AVERAGE(C66:H66)</f>
        <v>0.78304189931749402</v>
      </c>
    </row>
    <row r="67" spans="1:9" x14ac:dyDescent="0.25">
      <c r="A67" s="40" t="str">
        <f t="shared" si="12"/>
        <v>A2</v>
      </c>
      <c r="B67" s="16" t="str">
        <f t="shared" si="12"/>
        <v>Gunung Tangkuban Perahu</v>
      </c>
      <c r="C67" s="22">
        <f t="shared" si="13"/>
        <v>0.87179487179487181</v>
      </c>
      <c r="D67" s="22">
        <f t="shared" si="13"/>
        <v>0.50000000000000044</v>
      </c>
      <c r="E67" s="22">
        <f t="shared" si="13"/>
        <v>0.88902514132580146</v>
      </c>
      <c r="F67" s="22">
        <f t="shared" si="13"/>
        <v>0.50000000000000022</v>
      </c>
      <c r="G67" s="22">
        <f t="shared" si="13"/>
        <v>1</v>
      </c>
      <c r="H67" s="22">
        <f t="shared" si="13"/>
        <v>1</v>
      </c>
      <c r="I67" s="22">
        <f t="shared" si="14"/>
        <v>0.79347000218677899</v>
      </c>
    </row>
    <row r="68" spans="1:9" x14ac:dyDescent="0.25">
      <c r="A68" s="40" t="str">
        <f t="shared" si="12"/>
        <v>A3</v>
      </c>
      <c r="B68" s="16" t="str">
        <f t="shared" si="12"/>
        <v>Saung Angklung Udjo</v>
      </c>
      <c r="C68" s="22">
        <f t="shared" si="13"/>
        <v>0.64102564102564097</v>
      </c>
      <c r="D68" s="22">
        <f t="shared" si="13"/>
        <v>1</v>
      </c>
      <c r="E68" s="22">
        <f t="shared" si="13"/>
        <v>0.9810757822953865</v>
      </c>
      <c r="F68" s="22">
        <f t="shared" si="13"/>
        <v>0.50000000000000022</v>
      </c>
      <c r="G68" s="22">
        <f t="shared" si="13"/>
        <v>0.5</v>
      </c>
      <c r="H68" s="22">
        <f t="shared" si="13"/>
        <v>0.4</v>
      </c>
      <c r="I68" s="22">
        <f t="shared" si="14"/>
        <v>0.6703502372201714</v>
      </c>
    </row>
    <row r="69" spans="1:9" x14ac:dyDescent="0.25">
      <c r="A69" s="40" t="str">
        <f t="shared" si="12"/>
        <v>A4</v>
      </c>
      <c r="B69" s="16" t="str">
        <f t="shared" si="12"/>
        <v>Farmhouse Lembang</v>
      </c>
      <c r="C69" s="22">
        <f t="shared" si="13"/>
        <v>0.87179487179487181</v>
      </c>
      <c r="D69" s="22">
        <f t="shared" si="13"/>
        <v>0.33333333333333304</v>
      </c>
      <c r="E69" s="22">
        <f t="shared" si="13"/>
        <v>0.94566673987511707</v>
      </c>
      <c r="F69" s="22">
        <f t="shared" si="13"/>
        <v>0.50000000000000022</v>
      </c>
      <c r="G69" s="22">
        <f t="shared" si="13"/>
        <v>0</v>
      </c>
      <c r="H69" s="22">
        <f t="shared" si="13"/>
        <v>1</v>
      </c>
      <c r="I69" s="22">
        <f t="shared" si="14"/>
        <v>0.60846582416722039</v>
      </c>
    </row>
    <row r="70" spans="1:9" x14ac:dyDescent="0.25">
      <c r="A70" s="40" t="str">
        <f t="shared" si="12"/>
        <v>A5</v>
      </c>
      <c r="B70" s="16" t="str">
        <f t="shared" si="12"/>
        <v>Trans Studio Bandung</v>
      </c>
      <c r="C70" s="22">
        <f t="shared" si="13"/>
        <v>0</v>
      </c>
      <c r="D70" s="22">
        <f t="shared" si="13"/>
        <v>0.66666666666666607</v>
      </c>
      <c r="E70" s="22">
        <f t="shared" si="13"/>
        <v>0.99820274204991877</v>
      </c>
      <c r="F70" s="22">
        <f t="shared" si="13"/>
        <v>1</v>
      </c>
      <c r="G70" s="22">
        <f t="shared" si="13"/>
        <v>0</v>
      </c>
      <c r="H70" s="22">
        <f t="shared" si="13"/>
        <v>0.5</v>
      </c>
      <c r="I70" s="22">
        <f t="shared" si="14"/>
        <v>0.52747823478609746</v>
      </c>
    </row>
    <row r="71" spans="1:9" x14ac:dyDescent="0.25">
      <c r="A71" s="40" t="str">
        <f t="shared" si="12"/>
        <v>A6</v>
      </c>
      <c r="B71" s="16" t="str">
        <f t="shared" si="12"/>
        <v>Pantai Pangandaran</v>
      </c>
      <c r="C71" s="22">
        <f t="shared" si="13"/>
        <v>0.94871794871794868</v>
      </c>
      <c r="D71" s="22">
        <f t="shared" si="13"/>
        <v>0.16666666666666741</v>
      </c>
      <c r="E71" s="22">
        <f t="shared" si="13"/>
        <v>0</v>
      </c>
      <c r="F71" s="22">
        <f t="shared" si="13"/>
        <v>1</v>
      </c>
      <c r="G71" s="22">
        <f t="shared" si="13"/>
        <v>1</v>
      </c>
      <c r="H71" s="22">
        <f t="shared" si="13"/>
        <v>0.8</v>
      </c>
      <c r="I71" s="22">
        <f t="shared" si="14"/>
        <v>0.65256410256410258</v>
      </c>
    </row>
    <row r="72" spans="1:9" x14ac:dyDescent="0.25">
      <c r="A72" s="40" t="str">
        <f t="shared" si="12"/>
        <v>A7</v>
      </c>
      <c r="B72" s="16" t="str">
        <f t="shared" si="12"/>
        <v>Museum Geologi Bandung</v>
      </c>
      <c r="C72" s="22">
        <f t="shared" si="13"/>
        <v>1</v>
      </c>
      <c r="D72" s="22">
        <f t="shared" si="13"/>
        <v>0.66666666666666607</v>
      </c>
      <c r="E72" s="22">
        <f t="shared" si="13"/>
        <v>1</v>
      </c>
      <c r="F72" s="22">
        <f t="shared" si="13"/>
        <v>0</v>
      </c>
      <c r="G72" s="22">
        <f t="shared" si="13"/>
        <v>0.5</v>
      </c>
      <c r="H72" s="22">
        <f t="shared" si="13"/>
        <v>0</v>
      </c>
      <c r="I72" s="22">
        <f t="shared" si="14"/>
        <v>0.52777777777777768</v>
      </c>
    </row>
    <row r="73" spans="1:9" x14ac:dyDescent="0.25">
      <c r="A73" s="40" t="str">
        <f t="shared" si="12"/>
        <v>A8</v>
      </c>
      <c r="B73" s="16" t="str">
        <f t="shared" si="12"/>
        <v>Dusun Bambu Lembang</v>
      </c>
      <c r="C73" s="22">
        <f t="shared" si="13"/>
        <v>0.89743589743589747</v>
      </c>
      <c r="D73" s="22">
        <f t="shared" si="13"/>
        <v>0.50000000000000044</v>
      </c>
      <c r="E73" s="22">
        <f t="shared" si="13"/>
        <v>0.91177512752837742</v>
      </c>
      <c r="F73" s="22">
        <f t="shared" si="13"/>
        <v>1</v>
      </c>
      <c r="G73" s="22">
        <f t="shared" si="13"/>
        <v>0</v>
      </c>
      <c r="H73" s="22">
        <f t="shared" si="13"/>
        <v>1</v>
      </c>
      <c r="I73" s="22">
        <f t="shared" si="14"/>
        <v>0.71820183749404587</v>
      </c>
    </row>
    <row r="74" spans="1:9" x14ac:dyDescent="0.25">
      <c r="A74" s="40" t="str">
        <f t="shared" si="12"/>
        <v>A9</v>
      </c>
      <c r="B74" s="16" t="str">
        <f t="shared" si="12"/>
        <v>Situ Patenggang</v>
      </c>
      <c r="C74" s="22">
        <f t="shared" si="13"/>
        <v>0.92307692307692313</v>
      </c>
      <c r="D74" s="22">
        <f t="shared" si="13"/>
        <v>0.33333333333333304</v>
      </c>
      <c r="E74" s="22">
        <f t="shared" si="13"/>
        <v>0.73265596762342367</v>
      </c>
      <c r="F74" s="22">
        <f t="shared" si="13"/>
        <v>0</v>
      </c>
      <c r="G74" s="22">
        <f t="shared" si="13"/>
        <v>1</v>
      </c>
      <c r="H74" s="22">
        <f t="shared" si="13"/>
        <v>0.8</v>
      </c>
      <c r="I74" s="22">
        <f t="shared" si="14"/>
        <v>0.63151103733894665</v>
      </c>
    </row>
    <row r="75" spans="1:9" x14ac:dyDescent="0.25">
      <c r="A75" s="40" t="str">
        <f t="shared" si="12"/>
        <v>A10</v>
      </c>
      <c r="B75" s="16" t="str">
        <f t="shared" si="12"/>
        <v>Masjid Raya Al Jabbar</v>
      </c>
      <c r="C75" s="22">
        <f t="shared" si="13"/>
        <v>1</v>
      </c>
      <c r="D75" s="22">
        <f t="shared" si="13"/>
        <v>0</v>
      </c>
      <c r="E75" s="22">
        <f t="shared" si="13"/>
        <v>0.95391728946349663</v>
      </c>
      <c r="F75" s="22">
        <f t="shared" si="13"/>
        <v>0.50000000000000022</v>
      </c>
      <c r="G75" s="22">
        <f t="shared" si="13"/>
        <v>0</v>
      </c>
      <c r="H75" s="22">
        <f t="shared" si="13"/>
        <v>0.4</v>
      </c>
      <c r="I75" s="22">
        <f t="shared" si="14"/>
        <v>0.47565288157724944</v>
      </c>
    </row>
    <row r="77" spans="1:9" x14ac:dyDescent="0.25">
      <c r="A77" s="2" t="s">
        <v>240</v>
      </c>
    </row>
  </sheetData>
  <mergeCells count="7">
    <mergeCell ref="A62:B62"/>
    <mergeCell ref="A15:B15"/>
    <mergeCell ref="C62:D62"/>
    <mergeCell ref="A47:B47"/>
    <mergeCell ref="A45:B45"/>
    <mergeCell ref="A46:B46"/>
    <mergeCell ref="A31:B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8"/>
  <sheetViews>
    <sheetView showGridLines="0" zoomScale="90" workbookViewId="0"/>
  </sheetViews>
  <sheetFormatPr defaultRowHeight="15" x14ac:dyDescent="0.25"/>
  <cols>
    <col min="1" max="1" width="6" customWidth="1"/>
    <col min="2" max="2" width="26" customWidth="1"/>
    <col min="3" max="3" width="16" customWidth="1"/>
    <col min="4" max="4" width="13" customWidth="1"/>
    <col min="5" max="5" width="15" customWidth="1"/>
    <col min="6" max="6" width="18" customWidth="1"/>
    <col min="7" max="7" width="8" customWidth="1"/>
    <col min="8" max="8" width="13" customWidth="1"/>
  </cols>
  <sheetData>
    <row r="1" spans="1:8" ht="18" x14ac:dyDescent="0.25">
      <c r="A1" s="1" t="s">
        <v>241</v>
      </c>
    </row>
    <row r="2" spans="1:8" x14ac:dyDescent="0.25">
      <c r="A2" s="2" t="s">
        <v>242</v>
      </c>
    </row>
    <row r="3" spans="1:8" x14ac:dyDescent="0.25">
      <c r="A3" s="55" t="s">
        <v>154</v>
      </c>
      <c r="B3" s="57"/>
      <c r="C3" s="25" t="str">
        <f>Matriks_Keputusan!C5</f>
        <v>Cost</v>
      </c>
      <c r="D3" s="25" t="str">
        <f>Matriks_Keputusan!D5</f>
        <v>Benefit</v>
      </c>
      <c r="E3" s="25" t="str">
        <f>Matriks_Keputusan!E5</f>
        <v>Cost</v>
      </c>
      <c r="F3" s="25" t="str">
        <f>Matriks_Keputusan!F5</f>
        <v>Benefit</v>
      </c>
      <c r="G3" s="25" t="str">
        <f>Matriks_Keputusan!G5</f>
        <v>Benefit</v>
      </c>
      <c r="H3" s="25" t="str">
        <f>Matriks_Keputusan!H5</f>
        <v>Benefit</v>
      </c>
    </row>
    <row r="4" spans="1:8" x14ac:dyDescent="0.25">
      <c r="A4" s="55" t="s">
        <v>243</v>
      </c>
      <c r="B4" s="57"/>
      <c r="C4" s="24">
        <f>Matriks_Keputusan!C6</f>
        <v>0.269294111685416</v>
      </c>
      <c r="D4" s="24">
        <f>Matriks_Keputusan!D6</f>
        <v>0.17848214587345024</v>
      </c>
      <c r="E4" s="24">
        <f>Matriks_Keputusan!E6</f>
        <v>0.15674301543866762</v>
      </c>
      <c r="F4" s="24">
        <f>Matriks_Keputusan!F6</f>
        <v>8.1994696125130911E-2</v>
      </c>
      <c r="G4" s="24">
        <f>Matriks_Keputusan!G6</f>
        <v>0.15674301543866762</v>
      </c>
      <c r="H4" s="24">
        <f>Matriks_Keputusan!H6</f>
        <v>0.15674301543866762</v>
      </c>
    </row>
    <row r="5" spans="1:8" x14ac:dyDescent="0.25">
      <c r="A5" s="9" t="s">
        <v>105</v>
      </c>
      <c r="B5" s="9" t="s">
        <v>213</v>
      </c>
      <c r="C5" s="9" t="s">
        <v>157</v>
      </c>
      <c r="D5" s="9" t="s">
        <v>161</v>
      </c>
      <c r="E5" s="9" t="s">
        <v>166</v>
      </c>
      <c r="F5" s="9" t="s">
        <v>170</v>
      </c>
      <c r="G5" s="9" t="s">
        <v>174</v>
      </c>
      <c r="H5" s="9" t="s">
        <v>178</v>
      </c>
    </row>
    <row r="6" spans="1:8" x14ac:dyDescent="0.25">
      <c r="A6" s="25" t="str">
        <f>Matriks_Keputusan!A7</f>
        <v>A1</v>
      </c>
      <c r="B6" s="38" t="str">
        <f>Matriks_Keputusan!B7</f>
        <v>Kawah Putih Ciwidey</v>
      </c>
      <c r="C6" s="39">
        <f>Matriks_Keputusan!C7</f>
        <v>81000</v>
      </c>
      <c r="D6" s="23">
        <f>Matriks_Keputusan!D7</f>
        <v>4.5999999999999996</v>
      </c>
      <c r="E6" s="21">
        <f>Matriks_Keputusan!E7</f>
        <v>36.574538057104327</v>
      </c>
      <c r="F6" s="21">
        <f>Matriks_Keputusan!F7</f>
        <v>0.8</v>
      </c>
      <c r="G6" s="23">
        <f>Matriks_Keputusan!G7</f>
        <v>1</v>
      </c>
      <c r="H6" s="24">
        <f>Matriks_Keputusan!H7</f>
        <v>0.5</v>
      </c>
    </row>
    <row r="7" spans="1:8" x14ac:dyDescent="0.25">
      <c r="A7" s="25" t="str">
        <f>Matriks_Keputusan!A8</f>
        <v>A2</v>
      </c>
      <c r="B7" s="38" t="str">
        <f>Matriks_Keputusan!B8</f>
        <v>Gunung Tangkuban Perahu</v>
      </c>
      <c r="C7" s="39">
        <f>Matriks_Keputusan!C8</f>
        <v>30000</v>
      </c>
      <c r="D7" s="23">
        <f>Matriks_Keputusan!D8</f>
        <v>4.4000000000000004</v>
      </c>
      <c r="E7" s="21">
        <f>Matriks_Keputusan!E8</f>
        <v>17.577222974840573</v>
      </c>
      <c r="F7" s="21">
        <f>Matriks_Keputusan!F8</f>
        <v>0.8</v>
      </c>
      <c r="G7" s="23">
        <f>Matriks_Keputusan!G8</f>
        <v>1</v>
      </c>
      <c r="H7" s="24">
        <f>Matriks_Keputusan!H8</f>
        <v>0.5</v>
      </c>
    </row>
    <row r="8" spans="1:8" x14ac:dyDescent="0.25">
      <c r="A8" s="25" t="str">
        <f>Matriks_Keputusan!A9</f>
        <v>A3</v>
      </c>
      <c r="B8" s="38" t="str">
        <f>Matriks_Keputusan!B9</f>
        <v>Saung Angklung Udjo</v>
      </c>
      <c r="C8" s="39">
        <f>Matriks_Keputusan!C9</f>
        <v>75000</v>
      </c>
      <c r="D8" s="23">
        <f>Matriks_Keputusan!D9</f>
        <v>4.7</v>
      </c>
      <c r="E8" s="21">
        <f>Matriks_Keputusan!E9</f>
        <v>4.5624148383397722</v>
      </c>
      <c r="F8" s="21">
        <f>Matriks_Keputusan!F9</f>
        <v>0.8</v>
      </c>
      <c r="G8" s="23">
        <f>Matriks_Keputusan!G9</f>
        <v>0.5</v>
      </c>
      <c r="H8" s="24">
        <f>Matriks_Keputusan!H9</f>
        <v>0.2</v>
      </c>
    </row>
    <row r="9" spans="1:8" x14ac:dyDescent="0.25">
      <c r="A9" s="25" t="str">
        <f>Matriks_Keputusan!A10</f>
        <v>A4</v>
      </c>
      <c r="B9" s="38" t="str">
        <f>Matriks_Keputusan!B10</f>
        <v>Farmhouse Lembang</v>
      </c>
      <c r="C9" s="39">
        <f>Matriks_Keputusan!C10</f>
        <v>30000</v>
      </c>
      <c r="D9" s="23">
        <f>Matriks_Keputusan!D10</f>
        <v>4.3</v>
      </c>
      <c r="E9" s="21">
        <f>Matriks_Keputusan!E10</f>
        <v>9.5688101066714051</v>
      </c>
      <c r="F9" s="21">
        <f>Matriks_Keputusan!F10</f>
        <v>0.8</v>
      </c>
      <c r="G9" s="23">
        <f>Matriks_Keputusan!G10</f>
        <v>0</v>
      </c>
      <c r="H9" s="24">
        <f>Matriks_Keputusan!H10</f>
        <v>0.5</v>
      </c>
    </row>
    <row r="10" spans="1:8" x14ac:dyDescent="0.25">
      <c r="A10" s="25" t="str">
        <f>Matriks_Keputusan!A11</f>
        <v>A5</v>
      </c>
      <c r="B10" s="38" t="str">
        <f>Matriks_Keputusan!B11</f>
        <v>Trans Studio Bandung</v>
      </c>
      <c r="C10" s="39">
        <f>Matriks_Keputusan!C11</f>
        <v>200000</v>
      </c>
      <c r="D10" s="23">
        <f>Matriks_Keputusan!D11</f>
        <v>4.5</v>
      </c>
      <c r="E10" s="21">
        <f>Matriks_Keputusan!E11</f>
        <v>2.1408771627850856</v>
      </c>
      <c r="F10" s="21">
        <f>Matriks_Keputusan!F11</f>
        <v>1</v>
      </c>
      <c r="G10" s="23">
        <f>Matriks_Keputusan!G11</f>
        <v>0</v>
      </c>
      <c r="H10" s="24">
        <f>Matriks_Keputusan!H11</f>
        <v>0.25</v>
      </c>
    </row>
    <row r="11" spans="1:8" x14ac:dyDescent="0.25">
      <c r="A11" s="25" t="str">
        <f>Matriks_Keputusan!A12</f>
        <v>A6</v>
      </c>
      <c r="B11" s="38" t="str">
        <f>Matriks_Keputusan!B12</f>
        <v>Pantai Pangandaran</v>
      </c>
      <c r="C11" s="39">
        <f>Matriks_Keputusan!C12</f>
        <v>15000</v>
      </c>
      <c r="D11" s="23">
        <f>Matriks_Keputusan!D12</f>
        <v>4.2</v>
      </c>
      <c r="E11" s="21">
        <f>Matriks_Keputusan!E12</f>
        <v>143.27424714552384</v>
      </c>
      <c r="F11" s="21">
        <f>Matriks_Keputusan!F12</f>
        <v>1</v>
      </c>
      <c r="G11" s="23">
        <f>Matriks_Keputusan!G12</f>
        <v>1</v>
      </c>
      <c r="H11" s="24">
        <f>Matriks_Keputusan!H12</f>
        <v>0.4</v>
      </c>
    </row>
    <row r="12" spans="1:8" x14ac:dyDescent="0.25">
      <c r="A12" s="25" t="str">
        <f>Matriks_Keputusan!A13</f>
        <v>A7</v>
      </c>
      <c r="B12" s="38" t="str">
        <f>Matriks_Keputusan!B13</f>
        <v>Museum Geologi Bandung</v>
      </c>
      <c r="C12" s="39">
        <f>Matriks_Keputusan!C13</f>
        <v>5000</v>
      </c>
      <c r="D12" s="23">
        <f>Matriks_Keputusan!D13</f>
        <v>4.5</v>
      </c>
      <c r="E12" s="21">
        <f>Matriks_Keputusan!E13</f>
        <v>1.8867673907538742</v>
      </c>
      <c r="F12" s="21">
        <f>Matriks_Keputusan!F13</f>
        <v>0.6</v>
      </c>
      <c r="G12" s="23">
        <f>Matriks_Keputusan!G13</f>
        <v>0.5</v>
      </c>
      <c r="H12" s="24">
        <f>Matriks_Keputusan!H13</f>
        <v>0</v>
      </c>
    </row>
    <row r="13" spans="1:8" x14ac:dyDescent="0.25">
      <c r="A13" s="25" t="str">
        <f>Matriks_Keputusan!A14</f>
        <v>A8</v>
      </c>
      <c r="B13" s="38" t="str">
        <f>Matriks_Keputusan!B14</f>
        <v>Dusun Bambu Lembang</v>
      </c>
      <c r="C13" s="39">
        <f>Matriks_Keputusan!C14</f>
        <v>25000</v>
      </c>
      <c r="D13" s="23">
        <f>Matriks_Keputusan!D14</f>
        <v>4.4000000000000004</v>
      </c>
      <c r="E13" s="21">
        <f>Matriks_Keputusan!E14</f>
        <v>14.360659761202578</v>
      </c>
      <c r="F13" s="21">
        <f>Matriks_Keputusan!F14</f>
        <v>1</v>
      </c>
      <c r="G13" s="23">
        <f>Matriks_Keputusan!G14</f>
        <v>0</v>
      </c>
      <c r="H13" s="24">
        <f>Matriks_Keputusan!H14</f>
        <v>0.5</v>
      </c>
    </row>
    <row r="14" spans="1:8" x14ac:dyDescent="0.25">
      <c r="A14" s="25" t="str">
        <f>Matriks_Keputusan!A15</f>
        <v>A9</v>
      </c>
      <c r="B14" s="38" t="str">
        <f>Matriks_Keputusan!B15</f>
        <v>Situ Patenggang</v>
      </c>
      <c r="C14" s="39">
        <f>Matriks_Keputusan!C15</f>
        <v>20000</v>
      </c>
      <c r="D14" s="23">
        <f>Matriks_Keputusan!D15</f>
        <v>4.3</v>
      </c>
      <c r="E14" s="21">
        <f>Matriks_Keputusan!E15</f>
        <v>39.685866355955625</v>
      </c>
      <c r="F14" s="21">
        <f>Matriks_Keputusan!F15</f>
        <v>0.6</v>
      </c>
      <c r="G14" s="23">
        <f>Matriks_Keputusan!G15</f>
        <v>1</v>
      </c>
      <c r="H14" s="24">
        <f>Matriks_Keputusan!H15</f>
        <v>0.4</v>
      </c>
    </row>
    <row r="15" spans="1:8" x14ac:dyDescent="0.25">
      <c r="A15" s="25" t="str">
        <f>Matriks_Keputusan!A16</f>
        <v>A10</v>
      </c>
      <c r="B15" s="38" t="str">
        <f>Matriks_Keputusan!B16</f>
        <v>Masjid Raya Al Jabbar</v>
      </c>
      <c r="C15" s="39">
        <f>Matriks_Keputusan!C16</f>
        <v>5000</v>
      </c>
      <c r="D15" s="23">
        <f>Matriks_Keputusan!D16</f>
        <v>4.0999999999999996</v>
      </c>
      <c r="E15" s="21">
        <f>Matriks_Keputusan!E16</f>
        <v>8.4022856937786621</v>
      </c>
      <c r="F15" s="21">
        <f>Matriks_Keputusan!F16</f>
        <v>0.8</v>
      </c>
      <c r="G15" s="23">
        <f>Matriks_Keputusan!G16</f>
        <v>0</v>
      </c>
      <c r="H15" s="24">
        <f>Matriks_Keputusan!H16</f>
        <v>0.2</v>
      </c>
    </row>
    <row r="17" spans="1:8" x14ac:dyDescent="0.25">
      <c r="A17" s="3" t="s">
        <v>244</v>
      </c>
    </row>
    <row r="18" spans="1:8" x14ac:dyDescent="0.25">
      <c r="A18" s="9" t="s">
        <v>105</v>
      </c>
      <c r="B18" s="9" t="s">
        <v>213</v>
      </c>
      <c r="C18" s="9" t="s">
        <v>157</v>
      </c>
      <c r="D18" s="9" t="s">
        <v>161</v>
      </c>
      <c r="E18" s="9" t="s">
        <v>166</v>
      </c>
      <c r="F18" s="9" t="s">
        <v>170</v>
      </c>
      <c r="G18" s="9" t="s">
        <v>174</v>
      </c>
      <c r="H18" s="9" t="s">
        <v>178</v>
      </c>
    </row>
    <row r="19" spans="1:8" x14ac:dyDescent="0.25">
      <c r="A19" s="40" t="str">
        <f t="shared" ref="A19:B28" si="0">A6</f>
        <v>A1</v>
      </c>
      <c r="B19" s="16" t="str">
        <f t="shared" si="0"/>
        <v>Kawah Putih Ciwidey</v>
      </c>
      <c r="C19" s="34">
        <f t="shared" ref="C19:H28" si="1">IF(C$3="Benefit",C6/MAX(C$6:C$15),MIN(C$6:C$15)/C6)</f>
        <v>6.1728395061728392E-2</v>
      </c>
      <c r="D19" s="34">
        <f t="shared" si="1"/>
        <v>0.97872340425531901</v>
      </c>
      <c r="E19" s="34">
        <f t="shared" si="1"/>
        <v>5.1586909663986415E-2</v>
      </c>
      <c r="F19" s="34">
        <f t="shared" si="1"/>
        <v>0.8</v>
      </c>
      <c r="G19" s="34">
        <f t="shared" si="1"/>
        <v>1</v>
      </c>
      <c r="H19" s="34">
        <f t="shared" si="1"/>
        <v>1</v>
      </c>
    </row>
    <row r="20" spans="1:8" x14ac:dyDescent="0.25">
      <c r="A20" s="40" t="str">
        <f t="shared" si="0"/>
        <v>A2</v>
      </c>
      <c r="B20" s="16" t="str">
        <f t="shared" si="0"/>
        <v>Gunung Tangkuban Perahu</v>
      </c>
      <c r="C20" s="34">
        <f t="shared" si="1"/>
        <v>0.16666666666666666</v>
      </c>
      <c r="D20" s="34">
        <f t="shared" si="1"/>
        <v>0.93617021276595747</v>
      </c>
      <c r="E20" s="34">
        <f t="shared" si="1"/>
        <v>0.10734160870886872</v>
      </c>
      <c r="F20" s="34">
        <f t="shared" si="1"/>
        <v>0.8</v>
      </c>
      <c r="G20" s="34">
        <f t="shared" si="1"/>
        <v>1</v>
      </c>
      <c r="H20" s="34">
        <f t="shared" si="1"/>
        <v>1</v>
      </c>
    </row>
    <row r="21" spans="1:8" x14ac:dyDescent="0.25">
      <c r="A21" s="40" t="str">
        <f t="shared" si="0"/>
        <v>A3</v>
      </c>
      <c r="B21" s="16" t="str">
        <f t="shared" si="0"/>
        <v>Saung Angklung Udjo</v>
      </c>
      <c r="C21" s="34">
        <f t="shared" si="1"/>
        <v>6.6666666666666666E-2</v>
      </c>
      <c r="D21" s="34">
        <f t="shared" si="1"/>
        <v>1</v>
      </c>
      <c r="E21" s="34">
        <f t="shared" si="1"/>
        <v>0.41354577731481656</v>
      </c>
      <c r="F21" s="34">
        <f t="shared" si="1"/>
        <v>0.8</v>
      </c>
      <c r="G21" s="34">
        <f t="shared" si="1"/>
        <v>0.5</v>
      </c>
      <c r="H21" s="34">
        <f t="shared" si="1"/>
        <v>0.4</v>
      </c>
    </row>
    <row r="22" spans="1:8" x14ac:dyDescent="0.25">
      <c r="A22" s="40" t="str">
        <f t="shared" si="0"/>
        <v>A4</v>
      </c>
      <c r="B22" s="16" t="str">
        <f t="shared" si="0"/>
        <v>Farmhouse Lembang</v>
      </c>
      <c r="C22" s="34">
        <f t="shared" si="1"/>
        <v>0.16666666666666666</v>
      </c>
      <c r="D22" s="34">
        <f t="shared" si="1"/>
        <v>0.91489361702127647</v>
      </c>
      <c r="E22" s="34">
        <f t="shared" si="1"/>
        <v>0.19717889368902974</v>
      </c>
      <c r="F22" s="34">
        <f t="shared" si="1"/>
        <v>0.8</v>
      </c>
      <c r="G22" s="34">
        <f t="shared" si="1"/>
        <v>0</v>
      </c>
      <c r="H22" s="34">
        <f t="shared" si="1"/>
        <v>1</v>
      </c>
    </row>
    <row r="23" spans="1:8" x14ac:dyDescent="0.25">
      <c r="A23" s="40" t="str">
        <f t="shared" si="0"/>
        <v>A5</v>
      </c>
      <c r="B23" s="16" t="str">
        <f t="shared" si="0"/>
        <v>Trans Studio Bandung</v>
      </c>
      <c r="C23" s="34">
        <f t="shared" si="1"/>
        <v>2.5000000000000001E-2</v>
      </c>
      <c r="D23" s="34">
        <f t="shared" si="1"/>
        <v>0.95744680851063824</v>
      </c>
      <c r="E23" s="34">
        <f t="shared" si="1"/>
        <v>0.88130576735162247</v>
      </c>
      <c r="F23" s="34">
        <f t="shared" si="1"/>
        <v>1</v>
      </c>
      <c r="G23" s="34">
        <f t="shared" si="1"/>
        <v>0</v>
      </c>
      <c r="H23" s="34">
        <f t="shared" si="1"/>
        <v>0.5</v>
      </c>
    </row>
    <row r="24" spans="1:8" x14ac:dyDescent="0.25">
      <c r="A24" s="40" t="str">
        <f t="shared" si="0"/>
        <v>A6</v>
      </c>
      <c r="B24" s="16" t="str">
        <f t="shared" si="0"/>
        <v>Pantai Pangandaran</v>
      </c>
      <c r="C24" s="34">
        <f t="shared" si="1"/>
        <v>0.33333333333333331</v>
      </c>
      <c r="D24" s="34">
        <f t="shared" si="1"/>
        <v>0.8936170212765957</v>
      </c>
      <c r="E24" s="34">
        <f t="shared" si="1"/>
        <v>1.3168922038288445E-2</v>
      </c>
      <c r="F24" s="34">
        <f t="shared" si="1"/>
        <v>1</v>
      </c>
      <c r="G24" s="34">
        <f t="shared" si="1"/>
        <v>1</v>
      </c>
      <c r="H24" s="34">
        <f t="shared" si="1"/>
        <v>0.8</v>
      </c>
    </row>
    <row r="25" spans="1:8" x14ac:dyDescent="0.25">
      <c r="A25" s="40" t="str">
        <f t="shared" si="0"/>
        <v>A7</v>
      </c>
      <c r="B25" s="16" t="str">
        <f t="shared" si="0"/>
        <v>Museum Geologi Bandung</v>
      </c>
      <c r="C25" s="34">
        <f t="shared" si="1"/>
        <v>1</v>
      </c>
      <c r="D25" s="34">
        <f t="shared" si="1"/>
        <v>0.95744680851063824</v>
      </c>
      <c r="E25" s="34">
        <f t="shared" si="1"/>
        <v>1</v>
      </c>
      <c r="F25" s="34">
        <f t="shared" si="1"/>
        <v>0.6</v>
      </c>
      <c r="G25" s="34">
        <f t="shared" si="1"/>
        <v>0.5</v>
      </c>
      <c r="H25" s="34">
        <f t="shared" si="1"/>
        <v>0</v>
      </c>
    </row>
    <row r="26" spans="1:8" x14ac:dyDescent="0.25">
      <c r="A26" s="40" t="str">
        <f t="shared" si="0"/>
        <v>A8</v>
      </c>
      <c r="B26" s="16" t="str">
        <f t="shared" si="0"/>
        <v>Dusun Bambu Lembang</v>
      </c>
      <c r="C26" s="34">
        <f t="shared" si="1"/>
        <v>0.2</v>
      </c>
      <c r="D26" s="34">
        <f t="shared" si="1"/>
        <v>0.93617021276595747</v>
      </c>
      <c r="E26" s="34">
        <f t="shared" si="1"/>
        <v>0.13138445044504515</v>
      </c>
      <c r="F26" s="34">
        <f t="shared" si="1"/>
        <v>1</v>
      </c>
      <c r="G26" s="34">
        <f t="shared" si="1"/>
        <v>0</v>
      </c>
      <c r="H26" s="34">
        <f t="shared" si="1"/>
        <v>1</v>
      </c>
    </row>
    <row r="27" spans="1:8" x14ac:dyDescent="0.25">
      <c r="A27" s="40" t="str">
        <f t="shared" si="0"/>
        <v>A9</v>
      </c>
      <c r="B27" s="16" t="str">
        <f t="shared" si="0"/>
        <v>Situ Patenggang</v>
      </c>
      <c r="C27" s="34">
        <f t="shared" si="1"/>
        <v>0.25</v>
      </c>
      <c r="D27" s="34">
        <f t="shared" si="1"/>
        <v>0.91489361702127647</v>
      </c>
      <c r="E27" s="34">
        <f t="shared" si="1"/>
        <v>4.7542552651637621E-2</v>
      </c>
      <c r="F27" s="34">
        <f t="shared" si="1"/>
        <v>0.6</v>
      </c>
      <c r="G27" s="34">
        <f t="shared" si="1"/>
        <v>1</v>
      </c>
      <c r="H27" s="34">
        <f t="shared" si="1"/>
        <v>0.8</v>
      </c>
    </row>
    <row r="28" spans="1:8" x14ac:dyDescent="0.25">
      <c r="A28" s="40" t="str">
        <f t="shared" si="0"/>
        <v>A10</v>
      </c>
      <c r="B28" s="16" t="str">
        <f t="shared" si="0"/>
        <v>Masjid Raya Al Jabbar</v>
      </c>
      <c r="C28" s="34">
        <f t="shared" si="1"/>
        <v>1</v>
      </c>
      <c r="D28" s="34">
        <f t="shared" si="1"/>
        <v>0.87234042553191482</v>
      </c>
      <c r="E28" s="34">
        <f t="shared" si="1"/>
        <v>0.22455406296775898</v>
      </c>
      <c r="F28" s="34">
        <f t="shared" si="1"/>
        <v>0.8</v>
      </c>
      <c r="G28" s="34">
        <f t="shared" si="1"/>
        <v>0</v>
      </c>
      <c r="H28" s="34">
        <f t="shared" si="1"/>
        <v>0.4</v>
      </c>
    </row>
    <row r="30" spans="1:8" x14ac:dyDescent="0.25">
      <c r="A30" s="3" t="s">
        <v>245</v>
      </c>
    </row>
    <row r="31" spans="1:8" ht="25.5" x14ac:dyDescent="0.25">
      <c r="A31" s="9" t="s">
        <v>105</v>
      </c>
      <c r="B31" s="9" t="s">
        <v>213</v>
      </c>
      <c r="C31" s="9" t="s">
        <v>246</v>
      </c>
      <c r="D31" s="9" t="s">
        <v>247</v>
      </c>
      <c r="E31" s="9" t="s">
        <v>248</v>
      </c>
      <c r="F31" s="9" t="s">
        <v>249</v>
      </c>
      <c r="G31" s="9" t="s">
        <v>250</v>
      </c>
    </row>
    <row r="32" spans="1:8" x14ac:dyDescent="0.25">
      <c r="A32" s="40" t="str">
        <f t="shared" ref="A32:B41" si="2">A6</f>
        <v>A1</v>
      </c>
      <c r="B32" s="16" t="str">
        <f t="shared" si="2"/>
        <v>Kawah Putih Ciwidey</v>
      </c>
      <c r="C32" s="35">
        <f t="shared" ref="C32:C41" si="3">SUMPRODUCT(C19:H19,$C$4:$H$4)</f>
        <v>0.57847542227730764</v>
      </c>
      <c r="D32" s="36">
        <f t="shared" ref="D32:D41" si="4">RANK(C32,$C$32:$C$41,0)</f>
        <v>5</v>
      </c>
      <c r="E32" s="42">
        <f>INDEX(TOPSIS!$F$51:$F$60,MATCH(A32,TOPSIS!$A$51:$A$60,0))</f>
        <v>8</v>
      </c>
      <c r="F32" s="17">
        <f t="shared" ref="F32:F41" si="5">E32-D32</f>
        <v>3</v>
      </c>
      <c r="G32" s="17">
        <f t="shared" ref="G32:G41" si="6">F32^2</f>
        <v>9</v>
      </c>
    </row>
    <row r="33" spans="1:8" x14ac:dyDescent="0.25">
      <c r="A33" s="40" t="str">
        <f t="shared" si="2"/>
        <v>A2</v>
      </c>
      <c r="B33" s="16" t="str">
        <f t="shared" si="2"/>
        <v>Gunung Tangkuban Perahu</v>
      </c>
      <c r="C33" s="35">
        <f t="shared" si="3"/>
        <v>0.60787885563334754</v>
      </c>
      <c r="D33" s="36">
        <f t="shared" si="4"/>
        <v>3</v>
      </c>
      <c r="E33" s="42">
        <f>INDEX(TOPSIS!$F$51:$F$60,MATCH(A33,TOPSIS!$A$51:$A$60,0))</f>
        <v>1</v>
      </c>
      <c r="F33" s="17">
        <f t="shared" si="5"/>
        <v>-2</v>
      </c>
      <c r="G33" s="17">
        <f t="shared" si="6"/>
        <v>4</v>
      </c>
    </row>
    <row r="34" spans="1:8" x14ac:dyDescent="0.25">
      <c r="A34" s="40" t="str">
        <f t="shared" si="2"/>
        <v>A3</v>
      </c>
      <c r="B34" s="16" t="str">
        <f t="shared" si="2"/>
        <v>Saung Angklung Udjo</v>
      </c>
      <c r="C34" s="35">
        <f t="shared" si="3"/>
        <v>0.46791996960563564</v>
      </c>
      <c r="D34" s="36">
        <f t="shared" si="4"/>
        <v>9</v>
      </c>
      <c r="E34" s="42">
        <f>INDEX(TOPSIS!$F$51:$F$60,MATCH(A34,TOPSIS!$A$51:$A$60,0))</f>
        <v>7</v>
      </c>
      <c r="F34" s="17">
        <f t="shared" si="5"/>
        <v>-2</v>
      </c>
      <c r="G34" s="17">
        <f t="shared" si="6"/>
        <v>4</v>
      </c>
    </row>
    <row r="35" spans="1:8" x14ac:dyDescent="0.25">
      <c r="A35" s="40" t="str">
        <f t="shared" si="2"/>
        <v>A4</v>
      </c>
      <c r="B35" s="16" t="str">
        <f t="shared" si="2"/>
        <v>Farmhouse Lembang</v>
      </c>
      <c r="C35" s="35">
        <f t="shared" si="3"/>
        <v>0.46141971467590059</v>
      </c>
      <c r="D35" s="36">
        <f t="shared" si="4"/>
        <v>10</v>
      </c>
      <c r="E35" s="42">
        <f>INDEX(TOPSIS!$F$51:$F$60,MATCH(A35,TOPSIS!$A$51:$A$60,0))</f>
        <v>6</v>
      </c>
      <c r="F35" s="17">
        <f t="shared" si="5"/>
        <v>-4</v>
      </c>
      <c r="G35" s="17">
        <f t="shared" si="6"/>
        <v>16</v>
      </c>
    </row>
    <row r="36" spans="1:8" x14ac:dyDescent="0.25">
      <c r="A36" s="40" t="str">
        <f t="shared" si="2"/>
        <v>A5</v>
      </c>
      <c r="B36" s="16" t="str">
        <f t="shared" si="2"/>
        <v>Trans Studio Bandung</v>
      </c>
      <c r="C36" s="35">
        <f t="shared" si="3"/>
        <v>0.47612424107744739</v>
      </c>
      <c r="D36" s="36">
        <f t="shared" si="4"/>
        <v>8</v>
      </c>
      <c r="E36" s="42">
        <f>INDEX(TOPSIS!$F$51:$F$60,MATCH(A36,TOPSIS!$A$51:$A$60,0))</f>
        <v>10</v>
      </c>
      <c r="F36" s="17">
        <f t="shared" si="5"/>
        <v>2</v>
      </c>
      <c r="G36" s="17">
        <f t="shared" si="6"/>
        <v>4</v>
      </c>
    </row>
    <row r="37" spans="1:8" x14ac:dyDescent="0.25">
      <c r="A37" s="40" t="str">
        <f t="shared" si="2"/>
        <v>A6</v>
      </c>
      <c r="B37" s="16" t="str">
        <f t="shared" si="2"/>
        <v>Pantai Pangandaran</v>
      </c>
      <c r="C37" s="35">
        <f t="shared" si="3"/>
        <v>0.61545564790671681</v>
      </c>
      <c r="D37" s="36">
        <f t="shared" si="4"/>
        <v>2</v>
      </c>
      <c r="E37" s="42">
        <f>INDEX(TOPSIS!$F$51:$F$60,MATCH(A37,TOPSIS!$A$51:$A$60,0))</f>
        <v>9</v>
      </c>
      <c r="F37" s="17">
        <f t="shared" si="5"/>
        <v>7</v>
      </c>
      <c r="G37" s="17">
        <f t="shared" si="6"/>
        <v>49</v>
      </c>
    </row>
    <row r="38" spans="1:8" x14ac:dyDescent="0.25">
      <c r="A38" s="40" t="str">
        <f t="shared" si="2"/>
        <v>A7</v>
      </c>
      <c r="B38" s="16" t="str">
        <f t="shared" si="2"/>
        <v>Museum Geologi Bandung</v>
      </c>
      <c r="C38" s="35">
        <f t="shared" si="3"/>
        <v>0.72449261346116112</v>
      </c>
      <c r="D38" s="36">
        <f t="shared" si="4"/>
        <v>1</v>
      </c>
      <c r="E38" s="42">
        <f>INDEX(TOPSIS!$F$51:$F$60,MATCH(A38,TOPSIS!$A$51:$A$60,0))</f>
        <v>3</v>
      </c>
      <c r="F38" s="17">
        <f t="shared" si="5"/>
        <v>2</v>
      </c>
      <c r="G38" s="17">
        <f t="shared" si="6"/>
        <v>4</v>
      </c>
    </row>
    <row r="39" spans="1:8" x14ac:dyDescent="0.25">
      <c r="A39" s="40" t="str">
        <f t="shared" si="2"/>
        <v>A8</v>
      </c>
      <c r="B39" s="16" t="str">
        <f t="shared" si="2"/>
        <v>Dusun Bambu Lembang</v>
      </c>
      <c r="C39" s="35">
        <f t="shared" si="3"/>
        <v>0.4802797973226629</v>
      </c>
      <c r="D39" s="36">
        <f t="shared" si="4"/>
        <v>7</v>
      </c>
      <c r="E39" s="42">
        <f>INDEX(TOPSIS!$F$51:$F$60,MATCH(A39,TOPSIS!$A$51:$A$60,0))</f>
        <v>4</v>
      </c>
      <c r="F39" s="17">
        <f t="shared" si="5"/>
        <v>-3</v>
      </c>
      <c r="G39" s="17">
        <f t="shared" si="6"/>
        <v>9</v>
      </c>
    </row>
    <row r="40" spans="1:8" x14ac:dyDescent="0.25">
      <c r="A40" s="40" t="str">
        <f t="shared" si="2"/>
        <v>A9</v>
      </c>
      <c r="B40" s="16" t="str">
        <f t="shared" si="2"/>
        <v>Situ Patenggang</v>
      </c>
      <c r="C40" s="35">
        <f t="shared" si="3"/>
        <v>0.56940191246218352</v>
      </c>
      <c r="D40" s="36">
        <f t="shared" si="4"/>
        <v>6</v>
      </c>
      <c r="E40" s="42">
        <f>INDEX(TOPSIS!$F$51:$F$60,MATCH(A40,TOPSIS!$A$51:$A$60,0))</f>
        <v>2</v>
      </c>
      <c r="F40" s="17">
        <f t="shared" si="5"/>
        <v>-4</v>
      </c>
      <c r="G40" s="17">
        <f t="shared" si="6"/>
        <v>16</v>
      </c>
    </row>
    <row r="41" spans="1:8" x14ac:dyDescent="0.25">
      <c r="A41" s="40" t="str">
        <f t="shared" si="2"/>
        <v>A10</v>
      </c>
      <c r="B41" s="16" t="str">
        <f t="shared" si="2"/>
        <v>Masjid Raya Al Jabbar</v>
      </c>
      <c r="C41" s="35">
        <f t="shared" si="3"/>
        <v>0.58848154680065368</v>
      </c>
      <c r="D41" s="36">
        <f t="shared" si="4"/>
        <v>4</v>
      </c>
      <c r="E41" s="42">
        <f>INDEX(TOPSIS!$F$51:$F$60,MATCH(A41,TOPSIS!$A$51:$A$60,0))</f>
        <v>5</v>
      </c>
      <c r="F41" s="17">
        <f t="shared" si="5"/>
        <v>1</v>
      </c>
      <c r="G41" s="17">
        <f t="shared" si="6"/>
        <v>1</v>
      </c>
    </row>
    <row r="42" spans="1:8" x14ac:dyDescent="0.25">
      <c r="A42" s="55" t="s">
        <v>251</v>
      </c>
      <c r="B42" s="56"/>
      <c r="C42" s="56"/>
      <c r="D42" s="56"/>
      <c r="E42" s="56"/>
      <c r="F42" s="57"/>
      <c r="G42" s="36">
        <f>SUM(G32:G41)</f>
        <v>116</v>
      </c>
    </row>
    <row r="44" spans="1:8" x14ac:dyDescent="0.25">
      <c r="A44" s="55" t="s">
        <v>252</v>
      </c>
      <c r="B44" s="57"/>
      <c r="C44" s="17">
        <f>COUNTA(A32:A41)</f>
        <v>10</v>
      </c>
    </row>
    <row r="45" spans="1:8" x14ac:dyDescent="0.25">
      <c r="A45" s="55" t="s">
        <v>253</v>
      </c>
      <c r="B45" s="57"/>
      <c r="C45" s="41">
        <f>1-6*G42/(C44*(C44^2-1))</f>
        <v>0.29696969696969699</v>
      </c>
    </row>
    <row r="46" spans="1:8" x14ac:dyDescent="0.25">
      <c r="A46" s="55" t="s">
        <v>254</v>
      </c>
      <c r="B46" s="57"/>
      <c r="C46" s="60" t="str">
        <f>IF(C45&gt;=0.8,"Sangat kuat — TOPSIS dan SAW sepakat pada urutan besar",IF(C45&gt;=0.6,"Kuat — beberapa posisi berbeda",IF(C45&gt;=0.4,"Sedang — periksa kasus trade-off","Lemah — kedua metode menilai trade-off secara berbeda; analisis alternatif dengan d besar")))</f>
        <v>Lemah — kedua metode menilai trade-off secara berbeda; analisis alternatif dengan d besar</v>
      </c>
      <c r="D46" s="56"/>
      <c r="E46" s="56"/>
      <c r="F46" s="56"/>
      <c r="G46" s="56"/>
      <c r="H46" s="57"/>
    </row>
    <row r="48" spans="1:8" x14ac:dyDescent="0.25">
      <c r="A48" s="2" t="s">
        <v>255</v>
      </c>
    </row>
  </sheetData>
  <mergeCells count="7">
    <mergeCell ref="A3:B3"/>
    <mergeCell ref="A4:B4"/>
    <mergeCell ref="C46:H46"/>
    <mergeCell ref="A42:F42"/>
    <mergeCell ref="A45:B45"/>
    <mergeCell ref="A46:B46"/>
    <mergeCell ref="A44:B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showGridLines="0" topLeftCell="A10" zoomScale="90" workbookViewId="0">
      <selection activeCell="C15" sqref="C15"/>
    </sheetView>
  </sheetViews>
  <sheetFormatPr defaultRowHeight="15" x14ac:dyDescent="0.25"/>
  <cols>
    <col min="1" max="1" width="108.28515625" bestFit="1" customWidth="1"/>
    <col min="2" max="2" width="18.42578125" bestFit="1" customWidth="1"/>
    <col min="3" max="3" width="25.7109375" bestFit="1" customWidth="1"/>
    <col min="4" max="4" width="8.7109375" bestFit="1" customWidth="1"/>
    <col min="5" max="5" width="10.7109375" bestFit="1" customWidth="1"/>
    <col min="6" max="6" width="8" customWidth="1"/>
    <col min="7" max="7" width="11" customWidth="1"/>
    <col min="8" max="8" width="11.5703125" bestFit="1" customWidth="1"/>
    <col min="9" max="9" width="9.85546875" bestFit="1" customWidth="1"/>
  </cols>
  <sheetData>
    <row r="1" spans="1:9" ht="18" x14ac:dyDescent="0.25">
      <c r="A1" s="1" t="s">
        <v>256</v>
      </c>
    </row>
    <row r="2" spans="1:9" x14ac:dyDescent="0.25">
      <c r="A2" s="2" t="s">
        <v>257</v>
      </c>
    </row>
    <row r="4" spans="1:9" x14ac:dyDescent="0.25">
      <c r="A4" s="3" t="s">
        <v>258</v>
      </c>
    </row>
    <row r="5" spans="1:9" x14ac:dyDescent="0.25">
      <c r="A5" s="10" t="s">
        <v>69</v>
      </c>
      <c r="B5" s="43" t="str">
        <f>Profil_User!$B$5</f>
        <v>Bandung</v>
      </c>
    </row>
    <row r="6" spans="1:9" x14ac:dyDescent="0.25">
      <c r="A6" s="10" t="s">
        <v>259</v>
      </c>
      <c r="B6" s="44">
        <f>Profil_User!$B$8</f>
        <v>250000</v>
      </c>
    </row>
    <row r="7" spans="1:9" ht="25.5" x14ac:dyDescent="0.25">
      <c r="A7" s="10" t="s">
        <v>260</v>
      </c>
      <c r="B7" s="43" t="str">
        <f>Profil_User!$B$9</f>
        <v>Jawa Barat</v>
      </c>
    </row>
    <row r="8" spans="1:9" x14ac:dyDescent="0.25">
      <c r="A8" s="10" t="s">
        <v>261</v>
      </c>
      <c r="B8" s="43" t="str">
        <f>Profil_User!$B$10&amp;" / "&amp;Profil_User!$B$11</f>
        <v>Alam / Budaya</v>
      </c>
    </row>
    <row r="9" spans="1:9" x14ac:dyDescent="0.25">
      <c r="A9" s="10" t="s">
        <v>87</v>
      </c>
      <c r="B9" s="43" t="str">
        <f>Profil_User!$B$12</f>
        <v>Seimbang</v>
      </c>
    </row>
    <row r="10" spans="1:9" x14ac:dyDescent="0.25">
      <c r="A10" s="10" t="s">
        <v>262</v>
      </c>
      <c r="B10" s="45">
        <f>AHP_Bobot!D38</f>
        <v>8.4184201277348238E-3</v>
      </c>
    </row>
    <row r="12" spans="1:9" ht="25.5" x14ac:dyDescent="0.25">
      <c r="A12" s="9" t="s">
        <v>49</v>
      </c>
      <c r="B12" s="9" t="s">
        <v>105</v>
      </c>
      <c r="C12" s="9" t="s">
        <v>213</v>
      </c>
      <c r="D12" s="9" t="s">
        <v>108</v>
      </c>
      <c r="E12" s="9" t="s">
        <v>263</v>
      </c>
      <c r="F12" s="9" t="s">
        <v>264</v>
      </c>
      <c r="G12" s="9" t="s">
        <v>167</v>
      </c>
      <c r="H12" s="9" t="s">
        <v>265</v>
      </c>
      <c r="I12" s="9" t="s">
        <v>247</v>
      </c>
    </row>
    <row r="13" spans="1:9" x14ac:dyDescent="0.25">
      <c r="A13" s="46">
        <v>1</v>
      </c>
      <c r="B13" s="47" t="str">
        <f>INDEX(TOPSIS!$A$51:$A$60,MATCH(A13,TOPSIS!$F$51:$F$60,0))</f>
        <v>A2</v>
      </c>
      <c r="C13" s="48" t="str">
        <f>INDEX(TOPSIS!$B$51:$B$60,MATCH(A13,TOPSIS!$F$51:$F$60,0))</f>
        <v>Gunung Tangkuban Perahu</v>
      </c>
      <c r="D13" s="47" t="str">
        <f>INDEX(Data_Alternatif!$D$6:$D$15,MATCH(B13,Data_Alternatif!$A$6:$A$15,0))</f>
        <v>Alam</v>
      </c>
      <c r="E13" s="49">
        <f>INDEX(Data_Alternatif!$E$6:$E$15,MATCH(B13,Data_Alternatif!$A$6:$A$15,0))</f>
        <v>30000</v>
      </c>
      <c r="F13" s="50">
        <f>INDEX(Data_Alternatif!$F$6:$F$15,MATCH(B13,Data_Alternatif!$A$6:$A$15,0))</f>
        <v>4.4000000000000004</v>
      </c>
      <c r="G13" s="50">
        <f>INDEX(Data_Alternatif!$T$6:$T$15,MATCH(B13,Data_Alternatif!$A$6:$A$15,0))</f>
        <v>17.577222974840573</v>
      </c>
      <c r="H13" s="51">
        <f>INDEX(TOPSIS!$E$51:$E$60,MATCH(A13,TOPSIS!$F$51:$F$60,0))</f>
        <v>0.88274050082958766</v>
      </c>
      <c r="I13" s="52">
        <f>INDEX(SAW_Pembanding!$D$32:$D$41,MATCH(B13,SAW_Pembanding!$A$32:$A$41,0))</f>
        <v>3</v>
      </c>
    </row>
    <row r="14" spans="1:9" x14ac:dyDescent="0.25">
      <c r="A14" s="36">
        <v>2</v>
      </c>
      <c r="B14" s="25" t="str">
        <f>INDEX(TOPSIS!$A$51:$A$60,MATCH(A14,TOPSIS!$F$51:$F$60,0))</f>
        <v>A9</v>
      </c>
      <c r="C14" s="38" t="str">
        <f>INDEX(TOPSIS!$B$51:$B$60,MATCH(A14,TOPSIS!$F$51:$F$60,0))</f>
        <v>Situ Patenggang</v>
      </c>
      <c r="D14" s="25" t="str">
        <f>INDEX(Data_Alternatif!$D$6:$D$15,MATCH(B14,Data_Alternatif!$A$6:$A$15,0))</f>
        <v>Alam</v>
      </c>
      <c r="E14" s="39">
        <f>INDEX(Data_Alternatif!$E$6:$E$15,MATCH(B14,Data_Alternatif!$A$6:$A$15,0))</f>
        <v>20000</v>
      </c>
      <c r="F14" s="23">
        <f>INDEX(Data_Alternatif!$F$6:$F$15,MATCH(B14,Data_Alternatif!$A$6:$A$15,0))</f>
        <v>4.3</v>
      </c>
      <c r="G14" s="23">
        <f>INDEX(Data_Alternatif!$T$6:$T$15,MATCH(B14,Data_Alternatif!$A$6:$A$15,0))</f>
        <v>39.685866355955625</v>
      </c>
      <c r="H14" s="24">
        <f>INDEX(TOPSIS!$E$51:$E$60,MATCH(A14,TOPSIS!$F$51:$F$60,0))</f>
        <v>0.84415392738999884</v>
      </c>
      <c r="I14" s="42">
        <f>INDEX(SAW_Pembanding!$D$32:$D$41,MATCH(B14,SAW_Pembanding!$A$32:$A$41,0))</f>
        <v>6</v>
      </c>
    </row>
    <row r="15" spans="1:9" x14ac:dyDescent="0.25">
      <c r="A15" s="36">
        <v>3</v>
      </c>
      <c r="B15" s="25" t="str">
        <f>INDEX(TOPSIS!$A$51:$A$60,MATCH(A15,TOPSIS!$F$51:$F$60,0))</f>
        <v>A7</v>
      </c>
      <c r="C15" s="38" t="str">
        <f>INDEX(TOPSIS!$B$51:$B$60,MATCH(A15,TOPSIS!$F$51:$F$60,0))</f>
        <v>Museum Geologi Bandung</v>
      </c>
      <c r="D15" s="25" t="str">
        <f>INDEX(Data_Alternatif!$D$6:$D$15,MATCH(B15,Data_Alternatif!$A$6:$A$15,0))</f>
        <v>Budaya</v>
      </c>
      <c r="E15" s="39">
        <f>INDEX(Data_Alternatif!$E$6:$E$15,MATCH(B15,Data_Alternatif!$A$6:$A$15,0))</f>
        <v>5000</v>
      </c>
      <c r="F15" s="23">
        <f>INDEX(Data_Alternatif!$F$6:$F$15,MATCH(B15,Data_Alternatif!$A$6:$A$15,0))</f>
        <v>4.5</v>
      </c>
      <c r="G15" s="23">
        <f>INDEX(Data_Alternatif!$T$6:$T$15,MATCH(B15,Data_Alternatif!$A$6:$A$15,0))</f>
        <v>1.8867673907538742</v>
      </c>
      <c r="H15" s="24">
        <f>INDEX(TOPSIS!$E$51:$E$60,MATCH(A15,TOPSIS!$F$51:$F$60,0))</f>
        <v>0.77954952438274194</v>
      </c>
      <c r="I15" s="42">
        <f>INDEX(SAW_Pembanding!$D$32:$D$41,MATCH(B15,SAW_Pembanding!$A$32:$A$41,0))</f>
        <v>1</v>
      </c>
    </row>
    <row r="16" spans="1:9" x14ac:dyDescent="0.25">
      <c r="A16" s="36">
        <v>4</v>
      </c>
      <c r="B16" s="25" t="str">
        <f>INDEX(TOPSIS!$A$51:$A$60,MATCH(A16,TOPSIS!$F$51:$F$60,0))</f>
        <v>A8</v>
      </c>
      <c r="C16" s="38" t="str">
        <f>INDEX(TOPSIS!$B$51:$B$60,MATCH(A16,TOPSIS!$F$51:$F$60,0))</f>
        <v>Dusun Bambu Lembang</v>
      </c>
      <c r="D16" s="25" t="str">
        <f>INDEX(Data_Alternatif!$D$6:$D$15,MATCH(B16,Data_Alternatif!$A$6:$A$15,0))</f>
        <v>Kuliner</v>
      </c>
      <c r="E16" s="39">
        <f>INDEX(Data_Alternatif!$E$6:$E$15,MATCH(B16,Data_Alternatif!$A$6:$A$15,0))</f>
        <v>25000</v>
      </c>
      <c r="F16" s="23">
        <f>INDEX(Data_Alternatif!$F$6:$F$15,MATCH(B16,Data_Alternatif!$A$6:$A$15,0))</f>
        <v>4.4000000000000004</v>
      </c>
      <c r="G16" s="23">
        <f>INDEX(Data_Alternatif!$T$6:$T$15,MATCH(B16,Data_Alternatif!$A$6:$A$15,0))</f>
        <v>14.360659761202578</v>
      </c>
      <c r="H16" s="24">
        <f>INDEX(TOPSIS!$E$51:$E$60,MATCH(A16,TOPSIS!$F$51:$F$60,0))</f>
        <v>0.75956283824757831</v>
      </c>
      <c r="I16" s="42">
        <f>INDEX(SAW_Pembanding!$D$32:$D$41,MATCH(B16,SAW_Pembanding!$A$32:$A$41,0))</f>
        <v>7</v>
      </c>
    </row>
    <row r="17" spans="1:9" x14ac:dyDescent="0.25">
      <c r="A17" s="36">
        <v>5</v>
      </c>
      <c r="B17" s="25" t="str">
        <f>INDEX(TOPSIS!$A$51:$A$60,MATCH(A17,TOPSIS!$F$51:$F$60,0))</f>
        <v>A10</v>
      </c>
      <c r="C17" s="38" t="str">
        <f>INDEX(TOPSIS!$B$51:$B$60,MATCH(A17,TOPSIS!$F$51:$F$60,0))</f>
        <v>Masjid Raya Al Jabbar</v>
      </c>
      <c r="D17" s="25" t="str">
        <f>INDEX(Data_Alternatif!$D$6:$D$15,MATCH(B17,Data_Alternatif!$A$6:$A$15,0))</f>
        <v>Religi</v>
      </c>
      <c r="E17" s="39">
        <f>INDEX(Data_Alternatif!$E$6:$E$15,MATCH(B17,Data_Alternatif!$A$6:$A$15,0))</f>
        <v>5000</v>
      </c>
      <c r="F17" s="23">
        <f>INDEX(Data_Alternatif!$F$6:$F$15,MATCH(B17,Data_Alternatif!$A$6:$A$15,0))</f>
        <v>4.0999999999999996</v>
      </c>
      <c r="G17" s="23">
        <f>INDEX(Data_Alternatif!$T$6:$T$15,MATCH(B17,Data_Alternatif!$A$6:$A$15,0))</f>
        <v>8.4022856937786621</v>
      </c>
      <c r="H17" s="24">
        <f>INDEX(TOPSIS!$E$51:$E$60,MATCH(A17,TOPSIS!$F$51:$F$60,0))</f>
        <v>0.75709376288407182</v>
      </c>
      <c r="I17" s="42">
        <f>INDEX(SAW_Pembanding!$D$32:$D$41,MATCH(B17,SAW_Pembanding!$A$32:$A$41,0))</f>
        <v>4</v>
      </c>
    </row>
    <row r="18" spans="1:9" x14ac:dyDescent="0.25">
      <c r="A18" s="36">
        <v>6</v>
      </c>
      <c r="B18" s="25" t="str">
        <f>INDEX(TOPSIS!$A$51:$A$60,MATCH(A18,TOPSIS!$F$51:$F$60,0))</f>
        <v>A4</v>
      </c>
      <c r="C18" s="38" t="str">
        <f>INDEX(TOPSIS!$B$51:$B$60,MATCH(A18,TOPSIS!$F$51:$F$60,0))</f>
        <v>Farmhouse Lembang</v>
      </c>
      <c r="D18" s="25" t="str">
        <f>INDEX(Data_Alternatif!$D$6:$D$15,MATCH(B18,Data_Alternatif!$A$6:$A$15,0))</f>
        <v>Hiburan</v>
      </c>
      <c r="E18" s="39">
        <f>INDEX(Data_Alternatif!$E$6:$E$15,MATCH(B18,Data_Alternatif!$A$6:$A$15,0))</f>
        <v>30000</v>
      </c>
      <c r="F18" s="23">
        <f>INDEX(Data_Alternatif!$F$6:$F$15,MATCH(B18,Data_Alternatif!$A$6:$A$15,0))</f>
        <v>4.3</v>
      </c>
      <c r="G18" s="23">
        <f>INDEX(Data_Alternatif!$T$6:$T$15,MATCH(B18,Data_Alternatif!$A$6:$A$15,0))</f>
        <v>9.5688101066714051</v>
      </c>
      <c r="H18" s="24">
        <f>INDEX(TOPSIS!$E$51:$E$60,MATCH(A18,TOPSIS!$F$51:$F$60,0))</f>
        <v>0.75426893773992543</v>
      </c>
      <c r="I18" s="42">
        <f>INDEX(SAW_Pembanding!$D$32:$D$41,MATCH(B18,SAW_Pembanding!$A$32:$A$41,0))</f>
        <v>10</v>
      </c>
    </row>
    <row r="19" spans="1:9" x14ac:dyDescent="0.25">
      <c r="A19" s="36">
        <v>7</v>
      </c>
      <c r="B19" s="25" t="str">
        <f>INDEX(TOPSIS!$A$51:$A$60,MATCH(A19,TOPSIS!$F$51:$F$60,0))</f>
        <v>A3</v>
      </c>
      <c r="C19" s="38" t="str">
        <f>INDEX(TOPSIS!$B$51:$B$60,MATCH(A19,TOPSIS!$F$51:$F$60,0))</f>
        <v>Saung Angklung Udjo</v>
      </c>
      <c r="D19" s="25" t="str">
        <f>INDEX(Data_Alternatif!$D$6:$D$15,MATCH(B19,Data_Alternatif!$A$6:$A$15,0))</f>
        <v>Budaya</v>
      </c>
      <c r="E19" s="39">
        <f>INDEX(Data_Alternatif!$E$6:$E$15,MATCH(B19,Data_Alternatif!$A$6:$A$15,0))</f>
        <v>75000</v>
      </c>
      <c r="F19" s="23">
        <f>INDEX(Data_Alternatif!$F$6:$F$15,MATCH(B19,Data_Alternatif!$A$6:$A$15,0))</f>
        <v>4.7</v>
      </c>
      <c r="G19" s="23">
        <f>INDEX(Data_Alternatif!$T$6:$T$15,MATCH(B19,Data_Alternatif!$A$6:$A$15,0))</f>
        <v>4.5624148383397722</v>
      </c>
      <c r="H19" s="24">
        <f>INDEX(TOPSIS!$E$51:$E$60,MATCH(A19,TOPSIS!$F$51:$F$60,0))</f>
        <v>0.67996101812761134</v>
      </c>
      <c r="I19" s="42">
        <f>INDEX(SAW_Pembanding!$D$32:$D$41,MATCH(B19,SAW_Pembanding!$A$32:$A$41,0))</f>
        <v>9</v>
      </c>
    </row>
    <row r="20" spans="1:9" x14ac:dyDescent="0.25">
      <c r="A20" s="36">
        <v>8</v>
      </c>
      <c r="B20" s="25" t="str">
        <f>INDEX(TOPSIS!$A$51:$A$60,MATCH(A20,TOPSIS!$F$51:$F$60,0))</f>
        <v>A1</v>
      </c>
      <c r="C20" s="38" t="str">
        <f>INDEX(TOPSIS!$B$51:$B$60,MATCH(A20,TOPSIS!$F$51:$F$60,0))</f>
        <v>Kawah Putih Ciwidey</v>
      </c>
      <c r="D20" s="25" t="str">
        <f>INDEX(Data_Alternatif!$D$6:$D$15,MATCH(B20,Data_Alternatif!$A$6:$A$15,0))</f>
        <v>Alam</v>
      </c>
      <c r="E20" s="39">
        <f>INDEX(Data_Alternatif!$E$6:$E$15,MATCH(B20,Data_Alternatif!$A$6:$A$15,0))</f>
        <v>81000</v>
      </c>
      <c r="F20" s="23">
        <f>INDEX(Data_Alternatif!$F$6:$F$15,MATCH(B20,Data_Alternatif!$A$6:$A$15,0))</f>
        <v>4.5999999999999996</v>
      </c>
      <c r="G20" s="23">
        <f>INDEX(Data_Alternatif!$T$6:$T$15,MATCH(B20,Data_Alternatif!$A$6:$A$15,0))</f>
        <v>36.574538057104327</v>
      </c>
      <c r="H20" s="24">
        <f>INDEX(TOPSIS!$E$51:$E$60,MATCH(A20,TOPSIS!$F$51:$F$60,0))</f>
        <v>0.67993066276729086</v>
      </c>
      <c r="I20" s="42">
        <f>INDEX(SAW_Pembanding!$D$32:$D$41,MATCH(B20,SAW_Pembanding!$A$32:$A$41,0))</f>
        <v>5</v>
      </c>
    </row>
    <row r="21" spans="1:9" x14ac:dyDescent="0.25">
      <c r="A21" s="36">
        <v>9</v>
      </c>
      <c r="B21" s="25" t="str">
        <f>INDEX(TOPSIS!$A$51:$A$60,MATCH(A21,TOPSIS!$F$51:$F$60,0))</f>
        <v>A6</v>
      </c>
      <c r="C21" s="38" t="str">
        <f>INDEX(TOPSIS!$B$51:$B$60,MATCH(A21,TOPSIS!$F$51:$F$60,0))</f>
        <v>Pantai Pangandaran</v>
      </c>
      <c r="D21" s="25" t="str">
        <f>INDEX(Data_Alternatif!$D$6:$D$15,MATCH(B21,Data_Alternatif!$A$6:$A$15,0))</f>
        <v>Alam</v>
      </c>
      <c r="E21" s="39">
        <f>INDEX(Data_Alternatif!$E$6:$E$15,MATCH(B21,Data_Alternatif!$A$6:$A$15,0))</f>
        <v>15000</v>
      </c>
      <c r="F21" s="23">
        <f>INDEX(Data_Alternatif!$F$6:$F$15,MATCH(B21,Data_Alternatif!$A$6:$A$15,0))</f>
        <v>4.2</v>
      </c>
      <c r="G21" s="23">
        <f>INDEX(Data_Alternatif!$T$6:$T$15,MATCH(B21,Data_Alternatif!$A$6:$A$15,0))</f>
        <v>143.27424714552384</v>
      </c>
      <c r="H21" s="24">
        <f>INDEX(TOPSIS!$E$51:$E$60,MATCH(A21,TOPSIS!$F$51:$F$60,0))</f>
        <v>0.61595819352814063</v>
      </c>
      <c r="I21" s="42">
        <f>INDEX(SAW_Pembanding!$D$32:$D$41,MATCH(B21,SAW_Pembanding!$A$32:$A$41,0))</f>
        <v>2</v>
      </c>
    </row>
    <row r="22" spans="1:9" x14ac:dyDescent="0.25">
      <c r="A22" s="36">
        <v>10</v>
      </c>
      <c r="B22" s="25" t="str">
        <f>INDEX(TOPSIS!$A$51:$A$60,MATCH(A22,TOPSIS!$F$51:$F$60,0))</f>
        <v>A5</v>
      </c>
      <c r="C22" s="38" t="str">
        <f>INDEX(TOPSIS!$B$51:$B$60,MATCH(A22,TOPSIS!$F$51:$F$60,0))</f>
        <v>Trans Studio Bandung</v>
      </c>
      <c r="D22" s="25" t="str">
        <f>INDEX(Data_Alternatif!$D$6:$D$15,MATCH(B22,Data_Alternatif!$A$6:$A$15,0))</f>
        <v>Hiburan</v>
      </c>
      <c r="E22" s="39">
        <f>INDEX(Data_Alternatif!$E$6:$E$15,MATCH(B22,Data_Alternatif!$A$6:$A$15,0))</f>
        <v>200000</v>
      </c>
      <c r="F22" s="23">
        <f>INDEX(Data_Alternatif!$F$6:$F$15,MATCH(B22,Data_Alternatif!$A$6:$A$15,0))</f>
        <v>4.5</v>
      </c>
      <c r="G22" s="23">
        <f>INDEX(Data_Alternatif!$T$6:$T$15,MATCH(B22,Data_Alternatif!$A$6:$A$15,0))</f>
        <v>2.1408771627850856</v>
      </c>
      <c r="H22" s="24">
        <f>INDEX(TOPSIS!$E$51:$E$60,MATCH(A22,TOPSIS!$F$51:$F$60,0))</f>
        <v>0.38173402423047353</v>
      </c>
      <c r="I22" s="42">
        <f>INDEX(SAW_Pembanding!$D$32:$D$41,MATCH(B22,SAW_Pembanding!$A$32:$A$41,0))</f>
        <v>8</v>
      </c>
    </row>
    <row r="25" spans="1:9" x14ac:dyDescent="0.25">
      <c r="A25" s="3" t="s">
        <v>266</v>
      </c>
    </row>
    <row r="26" spans="1:9" x14ac:dyDescent="0.25">
      <c r="A26" s="10" t="s">
        <v>213</v>
      </c>
      <c r="B26" s="59" t="str">
        <f>C13</f>
        <v>Gunung Tangkuban Perahu</v>
      </c>
      <c r="C26" s="56"/>
      <c r="D26" s="57"/>
    </row>
    <row r="27" spans="1:9" x14ac:dyDescent="0.25">
      <c r="A27" s="10" t="s">
        <v>267</v>
      </c>
      <c r="B27" s="41">
        <f>H13</f>
        <v>0.88274050082958766</v>
      </c>
    </row>
    <row r="28" spans="1:9" ht="32.1" customHeight="1" x14ac:dyDescent="0.25">
      <c r="A28" s="10" t="s">
        <v>268</v>
      </c>
      <c r="B28" s="60" t="str">
        <f>"Rekomendasi utama: "&amp;C13&amp;" (Vi = "&amp;ROUND(H13,4)&amp;"), disusul "&amp;C14&amp;" (Vi = "&amp;ROUND(H14,4)&amp;") dan "&amp;C15&amp;" (Vi = "&amp;ROUND(H15,4)&amp;")."</f>
        <v>Rekomendasi utama: Gunung Tangkuban Perahu (Vi = 0,8827), disusul Situ Patenggang (Vi = 0,8442) dan Museum Geologi Bandung (Vi = 0,7795).</v>
      </c>
      <c r="C28" s="56"/>
      <c r="D28" s="56"/>
      <c r="E28" s="56"/>
      <c r="F28" s="56"/>
      <c r="G28" s="56"/>
      <c r="H28" s="56"/>
      <c r="I28" s="57"/>
    </row>
    <row r="30" spans="1:9" x14ac:dyDescent="0.25">
      <c r="A30" s="3" t="s">
        <v>269</v>
      </c>
    </row>
    <row r="31" spans="1:9" ht="25.5" x14ac:dyDescent="0.25">
      <c r="A31" s="9" t="s">
        <v>153</v>
      </c>
      <c r="B31" s="9" t="s">
        <v>270</v>
      </c>
      <c r="C31" s="9" t="s">
        <v>154</v>
      </c>
      <c r="D31" s="9" t="s">
        <v>271</v>
      </c>
      <c r="E31" s="9" t="s">
        <v>272</v>
      </c>
      <c r="F31" s="9" t="s">
        <v>273</v>
      </c>
    </row>
    <row r="32" spans="1:9" x14ac:dyDescent="0.25">
      <c r="A32" s="26" t="s">
        <v>157</v>
      </c>
      <c r="B32" s="16" t="s">
        <v>109</v>
      </c>
      <c r="C32" s="25" t="str">
        <f>Kriteria!$C$5</f>
        <v>Cost</v>
      </c>
      <c r="D32" s="39">
        <f>INDEX(Matriks_Keputusan!$C$7:$C$16,MATCH($B$13,Matriks_Keputusan!$A$7:$A$16,0))</f>
        <v>30000</v>
      </c>
      <c r="E32" s="21">
        <f>INDEX(TOPSIS!$C$66:$C$75,MATCH($B$13,TOPSIS!$A$66:$A$75,0))</f>
        <v>0.87179487179487181</v>
      </c>
      <c r="F32" s="26" t="str">
        <f t="shared" ref="F32:F37" si="0">IF(E32&gt;=0.8,"Unggul",IF(E32&gt;=0.5,"Cukup","Lemah"))</f>
        <v>Unggul</v>
      </c>
    </row>
    <row r="33" spans="1:9" x14ac:dyDescent="0.25">
      <c r="A33" s="26" t="s">
        <v>161</v>
      </c>
      <c r="B33" s="16" t="s">
        <v>162</v>
      </c>
      <c r="C33" s="25" t="str">
        <f>Kriteria!$C$6</f>
        <v>Benefit</v>
      </c>
      <c r="D33" s="23">
        <f>INDEX(Matriks_Keputusan!$D$7:$D$16,MATCH($B$13,Matriks_Keputusan!$A$7:$A$16,0))</f>
        <v>4.4000000000000004</v>
      </c>
      <c r="E33" s="21">
        <f>INDEX(TOPSIS!$D$66:$D$75,MATCH($B$13,TOPSIS!$A$66:$A$75,0))</f>
        <v>0.50000000000000044</v>
      </c>
      <c r="F33" s="26" t="str">
        <f t="shared" si="0"/>
        <v>Cukup</v>
      </c>
    </row>
    <row r="34" spans="1:9" x14ac:dyDescent="0.25">
      <c r="A34" s="26" t="s">
        <v>166</v>
      </c>
      <c r="B34" s="16" t="s">
        <v>167</v>
      </c>
      <c r="C34" s="25" t="str">
        <f>Kriteria!$C$7</f>
        <v>Cost</v>
      </c>
      <c r="D34" s="21">
        <f>INDEX(Matriks_Keputusan!$E$7:$E$16,MATCH($B$13,Matriks_Keputusan!$A$7:$A$16,0))</f>
        <v>17.577222974840573</v>
      </c>
      <c r="E34" s="21">
        <f>INDEX(TOPSIS!$E$66:$E$75,MATCH($B$13,TOPSIS!$A$66:$A$75,0))</f>
        <v>0.88902514132580146</v>
      </c>
      <c r="F34" s="26" t="str">
        <f t="shared" si="0"/>
        <v>Unggul</v>
      </c>
    </row>
    <row r="35" spans="1:9" x14ac:dyDescent="0.25">
      <c r="A35" s="26" t="s">
        <v>170</v>
      </c>
      <c r="B35" s="16" t="s">
        <v>171</v>
      </c>
      <c r="C35" s="25" t="str">
        <f>Kriteria!$C$8</f>
        <v>Benefit</v>
      </c>
      <c r="D35" s="21">
        <f>INDEX(Matriks_Keputusan!$F$7:$F$16,MATCH($B$13,Matriks_Keputusan!$A$7:$A$16,0))</f>
        <v>0.8</v>
      </c>
      <c r="E35" s="21">
        <f>INDEX(TOPSIS!$F$66:$F$75,MATCH($B$13,TOPSIS!$A$66:$A$75,0))</f>
        <v>0.50000000000000022</v>
      </c>
      <c r="F35" s="26" t="str">
        <f t="shared" si="0"/>
        <v>Cukup</v>
      </c>
    </row>
    <row r="36" spans="1:9" x14ac:dyDescent="0.25">
      <c r="A36" s="26" t="s">
        <v>174</v>
      </c>
      <c r="B36" s="16" t="s">
        <v>175</v>
      </c>
      <c r="C36" s="25" t="str">
        <f>Kriteria!$C$9</f>
        <v>Benefit</v>
      </c>
      <c r="D36" s="23">
        <f>INDEX(Matriks_Keputusan!$G$7:$G$16,MATCH($B$13,Matriks_Keputusan!$A$7:$A$16,0))</f>
        <v>1</v>
      </c>
      <c r="E36" s="21">
        <f>INDEX(TOPSIS!$G$66:$G$75,MATCH($B$13,TOPSIS!$A$66:$A$75,0))</f>
        <v>1</v>
      </c>
      <c r="F36" s="26" t="str">
        <f t="shared" si="0"/>
        <v>Unggul</v>
      </c>
    </row>
    <row r="37" spans="1:9" x14ac:dyDescent="0.25">
      <c r="A37" s="26" t="s">
        <v>178</v>
      </c>
      <c r="B37" s="16" t="s">
        <v>179</v>
      </c>
      <c r="C37" s="25" t="str">
        <f>Kriteria!$C$10</f>
        <v>Benefit</v>
      </c>
      <c r="D37" s="24">
        <f>INDEX(Matriks_Keputusan!$H$7:$H$16,MATCH($B$13,Matriks_Keputusan!$A$7:$A$16,0))</f>
        <v>0.5</v>
      </c>
      <c r="E37" s="21">
        <f>INDEX(TOPSIS!$H$66:$H$75,MATCH($B$13,TOPSIS!$A$66:$A$75,0))</f>
        <v>1</v>
      </c>
      <c r="F37" s="26" t="str">
        <f t="shared" si="0"/>
        <v>Unggul</v>
      </c>
    </row>
    <row r="39" spans="1:9" ht="45" customHeight="1" x14ac:dyDescent="0.25">
      <c r="A39" s="61" t="s">
        <v>274</v>
      </c>
      <c r="B39" s="54"/>
      <c r="C39" s="54"/>
      <c r="D39" s="54"/>
      <c r="E39" s="54"/>
      <c r="F39" s="54"/>
      <c r="G39" s="54"/>
      <c r="H39" s="54"/>
      <c r="I39" s="54"/>
    </row>
  </sheetData>
  <mergeCells count="3">
    <mergeCell ref="B26:D26"/>
    <mergeCell ref="A39:I39"/>
    <mergeCell ref="B28:I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Petunjuk</vt:lpstr>
      <vt:lpstr>Profil_User</vt:lpstr>
      <vt:lpstr>Data_Alternatif</vt:lpstr>
      <vt:lpstr>Kriteria</vt:lpstr>
      <vt:lpstr>AHP_Bobot</vt:lpstr>
      <vt:lpstr>Matriks_Keputusan</vt:lpstr>
      <vt:lpstr>TOPSIS</vt:lpstr>
      <vt:lpstr>SAW_Pembanding</vt:lpstr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Dion</cp:lastModifiedBy>
  <dcterms:created xsi:type="dcterms:W3CDTF">2026-09-17T12:57:46Z</dcterms:created>
  <dcterms:modified xsi:type="dcterms:W3CDTF">2026-09-18T06:06:29Z</dcterms:modified>
</cp:coreProperties>
</file>